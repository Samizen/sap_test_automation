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amit paudel\Downloads\ariba_automation\sap_test_automation\excel_test_cases\"/>
    </mc:Choice>
  </mc:AlternateContent>
  <bookViews>
    <workbookView xWindow="0" yWindow="0" windowWidth="23040" windowHeight="9072" tabRatio="878" firstSheet="1" activeTab="1"/>
  </bookViews>
  <sheets>
    <sheet name="Scenario Cover Sheet" sheetId="15" r:id="rId1"/>
    <sheet name="Steps" sheetId="17" r:id="rId2"/>
    <sheet name="References" sheetId="18" r:id="rId3"/>
    <sheet name="Scenario Metrics " sheetId="5" state="hidden" r:id="rId4"/>
  </sheets>
  <definedNames>
    <definedName name="_xlnm._FilterDatabase" localSheetId="1" hidden="1">Steps!$A$1:$Q$15</definedName>
  </definedNames>
  <calcPr calcId="162913"/>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7" l="1"/>
  <c r="C12" i="17"/>
  <c r="C15" i="17" l="1"/>
  <c r="C11" i="17"/>
  <c r="C10" i="17"/>
  <c r="C9" i="17"/>
  <c r="C8" i="17"/>
  <c r="C7" i="17"/>
  <c r="C6" i="17"/>
  <c r="C5" i="17"/>
  <c r="C4" i="17"/>
</calcChain>
</file>

<file path=xl/sharedStrings.xml><?xml version="1.0" encoding="utf-8"?>
<sst xmlns="http://schemas.openxmlformats.org/spreadsheetml/2006/main" count="117" uniqueCount="91">
  <si>
    <t xml:space="preserve">Scenario Owner: </t>
  </si>
  <si>
    <t>Test Cycle:</t>
  </si>
  <si>
    <t>Scenario ID:</t>
  </si>
  <si>
    <t>GPO-001</t>
  </si>
  <si>
    <t>Test Objective:</t>
  </si>
  <si>
    <t>Create PR and PO in guided buying.</t>
  </si>
  <si>
    <t>Scenario Description:</t>
  </si>
  <si>
    <t>Long Description Scenario Summary for items to be tested</t>
  </si>
  <si>
    <t>Search catalog for items
Add items to cart
Complete requisition details and submit
Review PR approval flow 
Confirm PO generation
Create associated receipt</t>
  </si>
  <si>
    <t xml:space="preserve"> </t>
  </si>
  <si>
    <t>Data Requirements</t>
  </si>
  <si>
    <t>Legacy Reference</t>
  </si>
  <si>
    <t>SAP Reference</t>
  </si>
  <si>
    <t>Comments</t>
  </si>
  <si>
    <t xml:space="preserve">Prerequisite </t>
  </si>
  <si>
    <t>Key RICEF Objects</t>
  </si>
  <si>
    <t>Master Data Validation</t>
  </si>
  <si>
    <t>SAP PO Post and Validation</t>
  </si>
  <si>
    <t>SAP Invoice to SAP</t>
  </si>
  <si>
    <t>Payment Remitance Validation to Ariba</t>
  </si>
  <si>
    <t>TEST SRIPT &amp; EXECUTION APPROVAL</t>
  </si>
  <si>
    <t>Name</t>
  </si>
  <si>
    <t>Signature</t>
  </si>
  <si>
    <t>Date</t>
  </si>
  <si>
    <t>Scenario Number</t>
  </si>
  <si>
    <t>Step</t>
  </si>
  <si>
    <t>Team</t>
  </si>
  <si>
    <t xml:space="preserve">Description </t>
  </si>
  <si>
    <t>Test Data / Test Execution</t>
  </si>
  <si>
    <t>Expected Result</t>
  </si>
  <si>
    <t>Step Completed
Sucessfullyåç</t>
  </si>
  <si>
    <t>Actual Result</t>
  </si>
  <si>
    <t>FI Impact</t>
  </si>
  <si>
    <t>RICEF Tested</t>
  </si>
  <si>
    <t>TPR #</t>
  </si>
  <si>
    <t>Status</t>
  </si>
  <si>
    <t>Tester/User ID</t>
  </si>
  <si>
    <t>Y or N</t>
  </si>
  <si>
    <t>Scenario No.</t>
  </si>
  <si>
    <t>Section</t>
  </si>
  <si>
    <t>BL_001</t>
  </si>
  <si>
    <t>Environment</t>
  </si>
  <si>
    <t>Buyer</t>
  </si>
  <si>
    <t>Catalog</t>
  </si>
  <si>
    <t>Shopping Cart popup  window appears.</t>
  </si>
  <si>
    <t xml:space="preserve">
</t>
  </si>
  <si>
    <t>Requisition Header</t>
  </si>
  <si>
    <t>Need-by is Today +5</t>
  </si>
  <si>
    <t>Requisition Lines</t>
  </si>
  <si>
    <t>Fields are updated</t>
  </si>
  <si>
    <t>Message appears "Your requisition has been sent for approval.</t>
  </si>
  <si>
    <r>
      <rPr>
        <sz val="14"/>
        <color rgb="FF000000"/>
        <rFont val="Calibri"/>
        <scheme val="minor"/>
      </rPr>
      <t xml:space="preserve">The PR is now on Submitted status.
Approval Flow is now active shown by </t>
    </r>
    <r>
      <rPr>
        <sz val="14"/>
        <color rgb="FF00B050"/>
        <rFont val="Calibri"/>
        <scheme val="minor"/>
      </rPr>
      <t>green flow.</t>
    </r>
  </si>
  <si>
    <t>Count of Status</t>
  </si>
  <si>
    <t>(blank)</t>
  </si>
  <si>
    <t>10 - Not Started</t>
  </si>
  <si>
    <t>20 - In-Process</t>
  </si>
  <si>
    <t>30 - TPR Hold</t>
  </si>
  <si>
    <t>40 - DEV Hold</t>
  </si>
  <si>
    <t>50 - Pass</t>
  </si>
  <si>
    <t>60 - N/A</t>
  </si>
  <si>
    <t>Grand Total</t>
  </si>
  <si>
    <t>PP_018</t>
  </si>
  <si>
    <t>RTR</t>
  </si>
  <si>
    <t>PTP</t>
  </si>
  <si>
    <t>PP</t>
  </si>
  <si>
    <t>IMWM</t>
  </si>
  <si>
    <t>PP_018 Total</t>
  </si>
  <si>
    <t>ZZZ999</t>
  </si>
  <si>
    <t>ZZZ999 Total</t>
  </si>
  <si>
    <t>Edit Detail page for the item is displayed.</t>
  </si>
  <si>
    <t>Enter or verify the Line Item Details for the item.
(Most details in this section is set to default)</t>
  </si>
  <si>
    <t>Fields are validated and updated if necessary.</t>
  </si>
  <si>
    <t>Complete script test_create_pr to Create a Requisition which will be edited in this script.</t>
  </si>
  <si>
    <t>Requisition is created</t>
  </si>
  <si>
    <t>Login to Ariba "Advanced" B&amp;I View. Click on Home tab.</t>
  </si>
  <si>
    <t>Search for the requisition to edit.
i. On the dropdown below Home tab, click and ensure that Requisition is selected.
Ii. Type in the PR Title to search for and press Enter or click on the button with eyeglass icon.
Iii. On the Search page, click on Search button</t>
  </si>
  <si>
    <t>Open the requisition to edit:
i. On the search result click on PR ID to open the requisition.
Ii. Click on Edit button on the top to edit the PR</t>
  </si>
  <si>
    <t>PR: AT-13</t>
  </si>
  <si>
    <t>AT-13</t>
  </si>
  <si>
    <t>Search results are displayed on the Search PR page.</t>
  </si>
  <si>
    <t>Ariba Home screen is displayed.</t>
  </si>
  <si>
    <t>Requisition Edit page is opened.</t>
  </si>
  <si>
    <t>Edit the Requisition Header details as desired.</t>
  </si>
  <si>
    <t>Title: AT-13
On Behalf Of: Samit Paudel
Ship To: * Ariba - Pittsburgh
Deliver To: * Samit Paudel
Need-by Date: Tue, 22 Apr, 2025</t>
  </si>
  <si>
    <r>
      <rPr>
        <sz val="14"/>
        <color rgb="FF000000"/>
        <rFont val="Calibri"/>
        <family val="2"/>
        <scheme val="minor"/>
      </rPr>
      <t>Press "</t>
    </r>
    <r>
      <rPr>
        <sz val="14"/>
        <color rgb="FF00B0F0"/>
        <rFont val="Calibri"/>
        <family val="2"/>
        <scheme val="minor"/>
      </rPr>
      <t>Submit</t>
    </r>
    <r>
      <rPr>
        <sz val="14"/>
        <color rgb="FF000000"/>
        <rFont val="Calibri"/>
        <family val="2"/>
        <scheme val="minor"/>
      </rPr>
      <t xml:space="preserve">"  to submit the requisition for approval. </t>
    </r>
  </si>
  <si>
    <r>
      <rPr>
        <sz val="14"/>
        <color rgb="FF000000"/>
        <rFont val="Calibri"/>
        <family val="2"/>
        <scheme val="minor"/>
      </rPr>
      <t xml:space="preserve">Click on </t>
    </r>
    <r>
      <rPr>
        <sz val="14"/>
        <color rgb="FF00B0F0"/>
        <rFont val="Calibri"/>
        <family val="2"/>
        <scheme val="minor"/>
      </rPr>
      <t>View Requisition</t>
    </r>
    <r>
      <rPr>
        <sz val="14"/>
        <color rgb="FF000000"/>
        <rFont val="Calibri"/>
        <family val="2"/>
        <scheme val="minor"/>
      </rPr>
      <t xml:space="preserve"> to display the created requisiton. </t>
    </r>
  </si>
  <si>
    <r>
      <t>Edit the Line Item Details:
i. Click on the</t>
    </r>
    <r>
      <rPr>
        <sz val="14"/>
        <color rgb="FFFF0000"/>
        <rFont val="Calibri"/>
        <family val="2"/>
        <scheme val="minor"/>
      </rPr>
      <t xml:space="preserve"> </t>
    </r>
    <r>
      <rPr>
        <sz val="14"/>
        <color rgb="FF00B0F0"/>
        <rFont val="Calibri"/>
        <family val="2"/>
        <scheme val="minor"/>
      </rPr>
      <t>checkbox</t>
    </r>
    <r>
      <rPr>
        <sz val="14"/>
        <color rgb="FF000000"/>
        <rFont val="Calibri"/>
        <family val="2"/>
        <scheme val="minor"/>
      </rPr>
      <t xml:space="preserve"> in the line for the item (towards the item lines' top left).
Ii. Click on </t>
    </r>
    <r>
      <rPr>
        <sz val="14"/>
        <color rgb="FF00B0F0"/>
        <rFont val="Calibri"/>
        <family val="2"/>
        <scheme val="minor"/>
      </rPr>
      <t>Actions</t>
    </r>
    <r>
      <rPr>
        <sz val="14"/>
        <color rgb="FF000000"/>
        <rFont val="Calibri"/>
        <family val="2"/>
        <scheme val="minor"/>
      </rPr>
      <t xml:space="preserve"> dropdown and then </t>
    </r>
    <r>
      <rPr>
        <sz val="14"/>
        <color rgb="FF00B0F0"/>
        <rFont val="Calibri"/>
        <family val="2"/>
        <scheme val="minor"/>
      </rPr>
      <t>Edit Details</t>
    </r>
    <r>
      <rPr>
        <sz val="14"/>
        <color rgb="FF000000"/>
        <rFont val="Calibri"/>
        <family val="2"/>
        <scheme val="minor"/>
      </rPr>
      <t>.</t>
    </r>
  </si>
  <si>
    <r>
      <t xml:space="preserve">Scroll down to Accounting - by Line Item Section
Edit the required information in the </t>
    </r>
    <r>
      <rPr>
        <sz val="14"/>
        <color rgb="FF00B0F0"/>
        <rFont val="Calibri"/>
        <family val="2"/>
        <scheme val="minor"/>
      </rPr>
      <t xml:space="preserve">Accounting  </t>
    </r>
    <r>
      <rPr>
        <sz val="14"/>
        <color rgb="FF000000"/>
        <rFont val="Calibri"/>
        <family val="2"/>
        <scheme val="minor"/>
      </rPr>
      <t xml:space="preserve">section. </t>
    </r>
  </si>
  <si>
    <r>
      <rPr>
        <sz val="14"/>
        <color rgb="FF000000"/>
        <rFont val="Calibri"/>
        <family val="2"/>
        <scheme val="minor"/>
      </rPr>
      <t xml:space="preserve">Edit the required information in the </t>
    </r>
    <r>
      <rPr>
        <sz val="14"/>
        <color rgb="FF00B0F0"/>
        <rFont val="Calibri"/>
        <family val="2"/>
        <scheme val="minor"/>
      </rPr>
      <t xml:space="preserve">Shipping - by Line Item </t>
    </r>
    <r>
      <rPr>
        <sz val="14"/>
        <color rgb="FF000000"/>
        <rFont val="Calibri"/>
        <family val="2"/>
        <scheme val="minor"/>
      </rPr>
      <t>section.</t>
    </r>
  </si>
  <si>
    <t>Click on OK button.</t>
  </si>
  <si>
    <t>The main requisition page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</si>
</sst>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0"/>
      <name val="Arial"/>
    </font>
    <font>
      <b/>
      <sz val="9"/>
      <name val="Arial"/>
      <family val="2"/>
    </font>
    <font>
      <sz val="9"/>
      <name val="Arial"/>
      <family val="2"/>
    </font>
    <font>
      <b/>
      <i/>
      <sz val="9"/>
      <name val="Arial"/>
      <family val="2"/>
    </font>
    <font>
      <sz val="9"/>
      <name val="Times New Roman"/>
      <family val="1"/>
    </font>
    <font>
      <sz val="8"/>
      <name val="Arial"/>
      <family val="2"/>
    </font>
    <font>
      <b/>
      <sz val="10"/>
      <name val="Arial"/>
      <family val="2"/>
    </font>
    <font>
      <sz val="10"/>
      <name val="Arial"/>
      <family val="2"/>
    </font>
    <font>
      <sz val="12"/>
      <name val="Arial"/>
      <family val="2"/>
    </font>
    <font>
      <i/>
      <sz val="10"/>
      <name val="Arial"/>
      <family val="2"/>
    </font>
    <font>
      <sz val="14"/>
      <name val="Calibri"/>
      <scheme val="minor"/>
    </font>
    <font>
      <sz val="14"/>
      <color rgb="FF000000"/>
      <name val="Calibri"/>
      <scheme val="minor"/>
    </font>
    <font>
      <sz val="14"/>
      <color rgb="FF00B050"/>
      <name val="Calibri"/>
      <scheme val="minor"/>
    </font>
    <font>
      <b/>
      <sz val="14"/>
      <name val="Calibri"/>
      <scheme val="minor"/>
    </font>
    <font>
      <sz val="14"/>
      <name val="Calibri"/>
      <family val="2"/>
      <scheme val="minor"/>
    </font>
    <font>
      <sz val="14"/>
      <color rgb="FFFF0000"/>
      <name val="Calibri"/>
      <scheme val="minor"/>
    </font>
    <font>
      <sz val="14"/>
      <color theme="1"/>
      <name val="Calibri"/>
      <scheme val="minor"/>
    </font>
    <font>
      <sz val="14"/>
      <color rgb="FF262626"/>
      <name val="Calibri"/>
      <scheme val="minor"/>
    </font>
    <font>
      <sz val="14"/>
      <color rgb="FFFF0000"/>
      <name val="Calibri"/>
      <family val="2"/>
      <scheme val="minor"/>
    </font>
    <font>
      <sz val="14"/>
      <color rgb="FF000000"/>
      <name val="Calibri"/>
      <family val="2"/>
      <scheme val="minor"/>
    </font>
    <font>
      <sz val="14"/>
      <color rgb="FF0070C0"/>
      <name val="Calibri"/>
      <family val="2"/>
      <scheme val="minor"/>
    </font>
    <font>
      <sz val="14"/>
      <color rgb="FF00B0F0"/>
      <name val="Calibri"/>
      <family val="2"/>
      <scheme val="minor"/>
    </font>
  </fonts>
  <fills count="8">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22"/>
        <bgColor indexed="64"/>
      </patternFill>
    </fill>
    <fill>
      <patternFill patternType="solid">
        <fgColor indexed="52"/>
        <bgColor indexed="64"/>
      </patternFill>
    </fill>
    <fill>
      <patternFill patternType="solid">
        <fgColor rgb="FFE2EFDA"/>
        <bgColor indexed="64"/>
      </patternFill>
    </fill>
    <fill>
      <patternFill patternType="solid">
        <fgColor rgb="FFE2EFDA"/>
        <bgColor rgb="FF000000"/>
      </patternFill>
    </fill>
  </fills>
  <borders count="49">
    <border>
      <left/>
      <right/>
      <top/>
      <bottom/>
      <diagonal/>
    </border>
    <border>
      <left style="thin">
        <color indexed="8"/>
      </left>
      <right/>
      <top style="thin">
        <color indexed="8"/>
      </top>
      <bottom/>
      <diagonal/>
    </border>
    <border>
      <left/>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style="medium">
        <color indexed="64"/>
      </right>
      <top style="thin">
        <color indexed="8"/>
      </top>
      <bottom/>
      <diagonal/>
    </border>
    <border>
      <left style="medium">
        <color indexed="64"/>
      </left>
      <right/>
      <top style="thin">
        <color indexed="8"/>
      </top>
      <bottom style="medium">
        <color indexed="64"/>
      </bottom>
      <diagonal/>
    </border>
    <border>
      <left style="thin">
        <color indexed="65"/>
      </left>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top style="thin">
        <color indexed="8"/>
      </top>
      <bottom/>
      <diagonal/>
    </border>
    <border>
      <left style="thin">
        <color indexed="65"/>
      </left>
      <right/>
      <top style="medium">
        <color indexed="64"/>
      </top>
      <bottom style="medium">
        <color indexed="64"/>
      </bottom>
      <diagonal/>
    </border>
    <border>
      <left style="thin">
        <color indexed="8"/>
      </left>
      <right/>
      <top style="medium">
        <color indexed="64"/>
      </top>
      <bottom style="medium">
        <color indexed="64"/>
      </bottom>
      <diagonal/>
    </border>
    <border>
      <left style="thin">
        <color indexed="65"/>
      </left>
      <right style="medium">
        <color indexed="64"/>
      </right>
      <top style="medium">
        <color indexed="64"/>
      </top>
      <bottom style="medium">
        <color indexed="64"/>
      </bottom>
      <diagonal/>
    </border>
    <border>
      <left style="thin">
        <color indexed="8"/>
      </left>
      <right/>
      <top/>
      <bottom/>
      <diagonal/>
    </border>
    <border>
      <left style="medium">
        <color indexed="64"/>
      </left>
      <right/>
      <top style="thin">
        <color indexed="65"/>
      </top>
      <bottom/>
      <diagonal/>
    </border>
    <border>
      <left style="thin">
        <color indexed="8"/>
      </left>
      <right style="medium">
        <color indexed="64"/>
      </right>
      <top/>
      <bottom/>
      <diagonal/>
    </border>
    <border>
      <left style="medium">
        <color indexed="64"/>
      </left>
      <right/>
      <top style="thin">
        <color indexed="65"/>
      </top>
      <bottom style="medium">
        <color indexed="64"/>
      </bottom>
      <diagonal/>
    </border>
    <border>
      <left style="thin">
        <color indexed="8"/>
      </left>
      <right/>
      <top/>
      <bottom style="medium">
        <color indexed="64"/>
      </bottom>
      <diagonal/>
    </border>
    <border>
      <left style="thin">
        <color indexed="65"/>
      </left>
      <right/>
      <top style="thin">
        <color indexed="8"/>
      </top>
      <bottom/>
      <diagonal/>
    </border>
    <border>
      <left/>
      <right style="medium">
        <color indexed="64"/>
      </right>
      <top style="thin">
        <color indexed="8"/>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7" fillId="0" borderId="0"/>
  </cellStyleXfs>
  <cellXfs count="122">
    <xf numFmtId="0" fontId="0" fillId="0" borderId="0" xfId="0"/>
    <xf numFmtId="0" fontId="2" fillId="0" borderId="0" xfId="0" applyFont="1"/>
    <xf numFmtId="0" fontId="2" fillId="0" borderId="0" xfId="0" applyFont="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6" fillId="3" borderId="1" xfId="0" applyFont="1" applyFill="1" applyBorder="1"/>
    <xf numFmtId="0" fontId="0" fillId="2" borderId="16" xfId="0" applyFill="1" applyBorder="1" applyAlignment="1">
      <alignment horizontal="center"/>
    </xf>
    <xf numFmtId="0" fontId="6" fillId="3" borderId="17" xfId="0" applyFont="1" applyFill="1" applyBorder="1"/>
    <xf numFmtId="0" fontId="6" fillId="3" borderId="18" xfId="0" applyFont="1" applyFill="1" applyBorder="1"/>
    <xf numFmtId="0" fontId="0" fillId="2" borderId="19"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0" borderId="22" xfId="0" applyBorder="1"/>
    <xf numFmtId="0" fontId="0" fillId="0" borderId="17" xfId="0" applyBorder="1"/>
    <xf numFmtId="0" fontId="0" fillId="0" borderId="18" xfId="0" applyBorder="1"/>
    <xf numFmtId="0" fontId="6" fillId="3" borderId="10" xfId="0" applyFont="1" applyFill="1" applyBorder="1"/>
    <xf numFmtId="0" fontId="6" fillId="3" borderId="23" xfId="0" applyFont="1" applyFill="1" applyBorder="1"/>
    <xf numFmtId="0" fontId="0" fillId="0" borderId="17" xfId="0" pivotButton="1" applyBorder="1"/>
    <xf numFmtId="0" fontId="6" fillId="3" borderId="19" xfId="0" applyFont="1" applyFill="1" applyBorder="1"/>
    <xf numFmtId="0" fontId="6" fillId="0" borderId="24" xfId="0" pivotButton="1" applyFont="1" applyBorder="1" applyAlignment="1">
      <alignment horizontal="center"/>
    </xf>
    <xf numFmtId="0" fontId="6" fillId="3" borderId="23" xfId="0" applyFont="1" applyFill="1" applyBorder="1" applyAlignment="1">
      <alignment horizontal="center"/>
    </xf>
    <xf numFmtId="0" fontId="6" fillId="3" borderId="25" xfId="0" applyFont="1" applyFill="1" applyBorder="1" applyAlignment="1">
      <alignment horizontal="center"/>
    </xf>
    <xf numFmtId="0" fontId="0" fillId="3" borderId="20" xfId="0" applyFill="1" applyBorder="1"/>
    <xf numFmtId="0" fontId="6" fillId="3" borderId="21" xfId="0" applyFont="1" applyFill="1" applyBorder="1" applyAlignment="1">
      <alignment horizontal="center"/>
    </xf>
    <xf numFmtId="0" fontId="0" fillId="2" borderId="26" xfId="0" applyFill="1" applyBorder="1" applyAlignment="1">
      <alignment horizontal="center"/>
    </xf>
    <xf numFmtId="0" fontId="6" fillId="3" borderId="26" xfId="0" applyFont="1" applyFill="1" applyBorder="1"/>
    <xf numFmtId="0" fontId="0" fillId="0" borderId="27" xfId="0" applyBorder="1"/>
    <xf numFmtId="0" fontId="0" fillId="2" borderId="0" xfId="0" applyFill="1" applyAlignment="1">
      <alignment horizontal="center"/>
    </xf>
    <xf numFmtId="0" fontId="0" fillId="2" borderId="28" xfId="0" applyFill="1" applyBorder="1" applyAlignment="1">
      <alignment horizontal="center"/>
    </xf>
    <xf numFmtId="0" fontId="0" fillId="0" borderId="29" xfId="0" applyBorder="1"/>
    <xf numFmtId="0" fontId="6" fillId="3" borderId="30" xfId="0" applyFont="1" applyFill="1" applyBorder="1"/>
    <xf numFmtId="0" fontId="0" fillId="0" borderId="31" xfId="0" applyBorder="1"/>
    <xf numFmtId="0" fontId="0" fillId="3" borderId="17" xfId="0" applyFill="1" applyBorder="1"/>
    <xf numFmtId="0" fontId="0" fillId="3" borderId="32" xfId="0" applyFill="1" applyBorder="1"/>
    <xf numFmtId="0" fontId="1" fillId="4" borderId="3" xfId="1" applyFont="1" applyFill="1" applyBorder="1"/>
    <xf numFmtId="0" fontId="2" fillId="0" borderId="37" xfId="1" applyFont="1" applyBorder="1"/>
    <xf numFmtId="0" fontId="2" fillId="0" borderId="4" xfId="1" applyFont="1" applyBorder="1"/>
    <xf numFmtId="0" fontId="2" fillId="0" borderId="5" xfId="1" applyFont="1" applyBorder="1"/>
    <xf numFmtId="0" fontId="2" fillId="0" borderId="0" xfId="1" applyFont="1"/>
    <xf numFmtId="0" fontId="1" fillId="4" borderId="3" xfId="1" applyFont="1" applyFill="1" applyBorder="1" applyAlignment="1">
      <alignment vertical="top" wrapText="1"/>
    </xf>
    <xf numFmtId="0" fontId="2" fillId="0" borderId="6" xfId="1" applyFont="1" applyBorder="1" applyAlignment="1">
      <alignment horizontal="left" vertical="top" wrapText="1"/>
    </xf>
    <xf numFmtId="0" fontId="2" fillId="0" borderId="7" xfId="1" applyFont="1" applyBorder="1" applyAlignment="1">
      <alignment horizontal="left" vertical="top" wrapText="1"/>
    </xf>
    <xf numFmtId="0" fontId="3" fillId="0" borderId="8" xfId="1" applyFont="1" applyBorder="1" applyAlignment="1">
      <alignment horizontal="justify"/>
    </xf>
    <xf numFmtId="0" fontId="2" fillId="0" borderId="9" xfId="1" applyFont="1" applyBorder="1"/>
    <xf numFmtId="0" fontId="1" fillId="4" borderId="10" xfId="1" applyFont="1" applyFill="1" applyBorder="1" applyAlignment="1">
      <alignment vertical="top" wrapText="1"/>
    </xf>
    <xf numFmtId="0" fontId="1" fillId="4" borderId="11" xfId="1" applyFont="1" applyFill="1" applyBorder="1" applyAlignment="1">
      <alignment vertical="top" wrapText="1"/>
    </xf>
    <xf numFmtId="0" fontId="2" fillId="4" borderId="12" xfId="1" applyFont="1" applyFill="1" applyBorder="1"/>
    <xf numFmtId="0" fontId="2" fillId="0" borderId="8" xfId="1" applyFont="1" applyBorder="1" applyAlignment="1">
      <alignment vertical="top" wrapText="1"/>
    </xf>
    <xf numFmtId="0" fontId="2" fillId="0" borderId="0" xfId="1" applyFont="1" applyAlignment="1">
      <alignment vertical="top" wrapText="1"/>
    </xf>
    <xf numFmtId="0" fontId="2" fillId="0" borderId="0" xfId="1" applyFont="1" applyAlignment="1">
      <alignment horizontal="left" vertical="top" wrapText="1"/>
    </xf>
    <xf numFmtId="0" fontId="2" fillId="0" borderId="0" xfId="1" applyFont="1" applyAlignment="1">
      <alignment horizontal="left"/>
    </xf>
    <xf numFmtId="0" fontId="2" fillId="0" borderId="8" xfId="1" applyFont="1" applyBorder="1"/>
    <xf numFmtId="0" fontId="2" fillId="0" borderId="9" xfId="1" applyFont="1" applyBorder="1" applyAlignment="1">
      <alignment horizontal="center"/>
    </xf>
    <xf numFmtId="0" fontId="3" fillId="0" borderId="8" xfId="1" applyFont="1" applyBorder="1"/>
    <xf numFmtId="0" fontId="1" fillId="4" borderId="10" xfId="1" applyFont="1" applyFill="1" applyBorder="1" applyAlignment="1">
      <alignment horizontal="justify" vertical="top" wrapText="1"/>
    </xf>
    <xf numFmtId="0" fontId="1" fillId="4" borderId="11" xfId="1" applyFont="1" applyFill="1" applyBorder="1" applyAlignment="1">
      <alignment horizontal="justify" vertical="top" wrapText="1"/>
    </xf>
    <xf numFmtId="0" fontId="2" fillId="0" borderId="43" xfId="1" applyFont="1" applyBorder="1" applyAlignment="1">
      <alignment vertical="top" wrapText="1"/>
    </xf>
    <xf numFmtId="0" fontId="2" fillId="0" borderId="34" xfId="1" applyFont="1" applyBorder="1" applyAlignment="1">
      <alignment vertical="top" wrapText="1"/>
    </xf>
    <xf numFmtId="0" fontId="2" fillId="0" borderId="33" xfId="1" applyFont="1" applyBorder="1"/>
    <xf numFmtId="0" fontId="2" fillId="0" borderId="13" xfId="1" applyFont="1" applyBorder="1" applyAlignment="1">
      <alignment vertical="top" wrapText="1"/>
    </xf>
    <xf numFmtId="0" fontId="4" fillId="0" borderId="14" xfId="1" applyFont="1" applyBorder="1" applyAlignment="1">
      <alignment vertical="top" wrapText="1"/>
    </xf>
    <xf numFmtId="0" fontId="2" fillId="0" borderId="15" xfId="1" applyFont="1" applyBorder="1"/>
    <xf numFmtId="0" fontId="8" fillId="0" borderId="0" xfId="1" applyFont="1" applyAlignment="1">
      <alignment horizontal="justify"/>
    </xf>
    <xf numFmtId="0" fontId="7" fillId="0" borderId="0" xfId="1"/>
    <xf numFmtId="0" fontId="9" fillId="0" borderId="0" xfId="1" applyFont="1"/>
    <xf numFmtId="0" fontId="6" fillId="0" borderId="0" xfId="1" applyFont="1"/>
    <xf numFmtId="0" fontId="6" fillId="0" borderId="0" xfId="1" applyFont="1" applyAlignment="1">
      <alignment horizontal="center"/>
    </xf>
    <xf numFmtId="0" fontId="1" fillId="0" borderId="0" xfId="0" applyFont="1" applyAlignment="1">
      <alignment horizontal="left"/>
    </xf>
    <xf numFmtId="0" fontId="1" fillId="0" borderId="0" xfId="0" applyFont="1"/>
    <xf numFmtId="0" fontId="2" fillId="0" borderId="0" xfId="0" applyFont="1" applyAlignment="1">
      <alignment horizontal="left"/>
    </xf>
    <xf numFmtId="0" fontId="10" fillId="6" borderId="38" xfId="0" applyFont="1" applyFill="1" applyBorder="1" applyAlignment="1">
      <alignment horizontal="left" vertical="top" wrapText="1"/>
    </xf>
    <xf numFmtId="0" fontId="13" fillId="0" borderId="38" xfId="0" applyFont="1" applyBorder="1" applyAlignment="1">
      <alignment horizontal="center" vertical="center" wrapText="1"/>
    </xf>
    <xf numFmtId="0" fontId="14" fillId="0" borderId="0" xfId="0" applyFont="1" applyAlignment="1">
      <alignment vertical="center" wrapText="1"/>
    </xf>
    <xf numFmtId="0" fontId="13" fillId="0" borderId="39" xfId="0" applyFont="1" applyBorder="1" applyAlignment="1">
      <alignment horizontal="center" vertical="center" wrapText="1"/>
    </xf>
    <xf numFmtId="0" fontId="13" fillId="5" borderId="40" xfId="0" applyFont="1" applyFill="1" applyBorder="1" applyAlignment="1">
      <alignment vertical="center"/>
    </xf>
    <xf numFmtId="0" fontId="13" fillId="5" borderId="41" xfId="0" applyFont="1" applyFill="1" applyBorder="1" applyAlignment="1">
      <alignment vertical="center" wrapText="1"/>
    </xf>
    <xf numFmtId="0" fontId="13" fillId="5" borderId="41" xfId="0" applyFont="1" applyFill="1" applyBorder="1" applyAlignment="1">
      <alignment vertical="center"/>
    </xf>
    <xf numFmtId="0" fontId="13" fillId="5" borderId="40" xfId="0" applyFont="1" applyFill="1" applyBorder="1" applyAlignment="1">
      <alignment vertical="center" wrapText="1"/>
    </xf>
    <xf numFmtId="0" fontId="15" fillId="6" borderId="38" xfId="0" applyFont="1" applyFill="1" applyBorder="1" applyAlignment="1">
      <alignment horizontal="left" vertical="top" wrapText="1"/>
    </xf>
    <xf numFmtId="0" fontId="16" fillId="6" borderId="38" xfId="0" applyFont="1" applyFill="1" applyBorder="1" applyAlignment="1">
      <alignment horizontal="left" vertical="top" wrapText="1"/>
    </xf>
    <xf numFmtId="0" fontId="10" fillId="6" borderId="38"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4" fillId="0" borderId="0" xfId="0" applyFont="1" applyAlignment="1">
      <alignment vertical="top" wrapText="1"/>
    </xf>
    <xf numFmtId="0" fontId="10" fillId="7" borderId="38" xfId="0" applyFont="1" applyFill="1" applyBorder="1" applyAlignment="1">
      <alignment vertical="top" wrapText="1"/>
    </xf>
    <xf numFmtId="0" fontId="10" fillId="7" borderId="38" xfId="0" applyFont="1" applyFill="1" applyBorder="1" applyAlignment="1">
      <alignment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7" fillId="6" borderId="38" xfId="0" applyFont="1" applyFill="1" applyBorder="1" applyAlignment="1">
      <alignment horizontal="left" vertical="top" wrapText="1"/>
    </xf>
    <xf numFmtId="0" fontId="11" fillId="6" borderId="38" xfId="0" applyFont="1" applyFill="1" applyBorder="1" applyAlignment="1">
      <alignment horizontal="left" vertical="top" wrapText="1"/>
    </xf>
    <xf numFmtId="0" fontId="14" fillId="6" borderId="38" xfId="0" applyFont="1" applyFill="1" applyBorder="1" applyAlignment="1">
      <alignment horizontal="left" vertical="top" wrapText="1"/>
    </xf>
    <xf numFmtId="0" fontId="19" fillId="6" borderId="38" xfId="0" applyFont="1" applyFill="1" applyBorder="1" applyAlignment="1">
      <alignment horizontal="left" vertical="top" wrapText="1"/>
    </xf>
    <xf numFmtId="0" fontId="20" fillId="7" borderId="38" xfId="0" applyFont="1" applyFill="1" applyBorder="1" applyAlignment="1">
      <alignment vertical="top" wrapText="1"/>
    </xf>
    <xf numFmtId="0" fontId="19" fillId="7" borderId="38" xfId="0" applyFont="1" applyFill="1" applyBorder="1" applyAlignment="1">
      <alignment vertical="top" wrapText="1"/>
    </xf>
    <xf numFmtId="0" fontId="2" fillId="0" borderId="8" xfId="1" applyFont="1" applyBorder="1" applyAlignment="1">
      <alignment horizontal="center" vertical="top" wrapText="1"/>
    </xf>
    <xf numFmtId="0" fontId="2" fillId="0" borderId="0" xfId="1" applyFont="1" applyAlignment="1">
      <alignment horizontal="center" vertical="top" wrapText="1"/>
    </xf>
    <xf numFmtId="0" fontId="2" fillId="0" borderId="8" xfId="1" applyFont="1" applyBorder="1" applyAlignment="1">
      <alignment horizontal="left" vertical="top" wrapText="1"/>
    </xf>
    <xf numFmtId="0" fontId="2" fillId="0" borderId="0" xfId="1" applyFont="1" applyAlignment="1">
      <alignment horizontal="left" vertical="top" wrapText="1"/>
    </xf>
    <xf numFmtId="0" fontId="2" fillId="0" borderId="44" xfId="1" applyFont="1" applyBorder="1" applyAlignment="1">
      <alignment horizontal="left" vertical="top" wrapText="1"/>
    </xf>
    <xf numFmtId="0" fontId="2" fillId="0" borderId="6" xfId="1" applyFont="1" applyBorder="1" applyAlignment="1">
      <alignment horizontal="left" vertical="top" wrapText="1"/>
    </xf>
    <xf numFmtId="0" fontId="2" fillId="0" borderId="45" xfId="1" applyFont="1" applyBorder="1" applyAlignment="1">
      <alignment vertical="top" wrapText="1"/>
    </xf>
    <xf numFmtId="0" fontId="2" fillId="0" borderId="46" xfId="1" applyFont="1" applyBorder="1" applyAlignment="1">
      <alignment vertical="top" wrapText="1"/>
    </xf>
    <xf numFmtId="0" fontId="2" fillId="0" borderId="47" xfId="1" applyFont="1" applyBorder="1" applyAlignment="1">
      <alignment vertical="top" wrapText="1"/>
    </xf>
    <xf numFmtId="0" fontId="1" fillId="4" borderId="35" xfId="1" applyFont="1" applyFill="1" applyBorder="1" applyAlignment="1">
      <alignment horizontal="left" vertical="top" wrapText="1"/>
    </xf>
    <xf numFmtId="0" fontId="1" fillId="4" borderId="36" xfId="1" applyFont="1" applyFill="1" applyBorder="1" applyAlignment="1">
      <alignment horizontal="left" vertical="top" wrapText="1"/>
    </xf>
    <xf numFmtId="0" fontId="2" fillId="0" borderId="9" xfId="1" applyFont="1" applyBorder="1" applyAlignment="1">
      <alignment horizontal="left" vertical="top" wrapText="1"/>
    </xf>
    <xf numFmtId="0" fontId="2" fillId="0" borderId="14" xfId="1" applyFont="1" applyBorder="1" applyAlignment="1">
      <alignment horizontal="left" vertical="top" wrapText="1"/>
    </xf>
    <xf numFmtId="0" fontId="2" fillId="0" borderId="15" xfId="1" applyFont="1" applyBorder="1" applyAlignment="1">
      <alignment horizontal="left" vertical="top" wrapText="1"/>
    </xf>
    <xf numFmtId="0" fontId="1" fillId="4" borderId="10" xfId="1" applyFont="1" applyFill="1" applyBorder="1" applyAlignment="1">
      <alignment horizontal="left" vertical="top" wrapText="1"/>
    </xf>
    <xf numFmtId="0" fontId="1" fillId="4" borderId="11" xfId="1" applyFont="1" applyFill="1" applyBorder="1" applyAlignment="1">
      <alignment horizontal="left" vertical="top" wrapText="1"/>
    </xf>
    <xf numFmtId="0" fontId="1" fillId="4" borderId="12" xfId="1" applyFont="1" applyFill="1" applyBorder="1" applyAlignment="1">
      <alignment horizontal="left" vertical="top" wrapText="1"/>
    </xf>
    <xf numFmtId="0" fontId="2" fillId="0" borderId="43" xfId="1" applyFont="1" applyBorder="1" applyAlignment="1">
      <alignment vertical="top" wrapText="1"/>
    </xf>
    <xf numFmtId="0" fontId="2" fillId="0" borderId="34" xfId="1" applyFont="1" applyBorder="1" applyAlignment="1">
      <alignment vertical="top" wrapText="1"/>
    </xf>
    <xf numFmtId="0" fontId="2" fillId="0" borderId="33" xfId="1" applyFont="1" applyBorder="1" applyAlignment="1">
      <alignment vertical="top" wrapText="1"/>
    </xf>
    <xf numFmtId="0" fontId="2" fillId="0" borderId="8" xfId="1" applyFont="1" applyBorder="1" applyAlignment="1">
      <alignment vertical="top" wrapText="1"/>
    </xf>
    <xf numFmtId="0" fontId="2" fillId="0" borderId="0" xfId="1" applyFont="1" applyAlignment="1">
      <alignment vertical="top" wrapText="1"/>
    </xf>
    <xf numFmtId="0" fontId="2" fillId="0" borderId="9" xfId="1" applyFont="1" applyBorder="1" applyAlignment="1">
      <alignment vertical="top" wrapText="1"/>
    </xf>
    <xf numFmtId="0" fontId="2" fillId="0" borderId="43" xfId="1" applyFont="1" applyBorder="1" applyAlignment="1">
      <alignment horizontal="center" vertical="top" wrapText="1"/>
    </xf>
    <xf numFmtId="0" fontId="2" fillId="0" borderId="33" xfId="1" applyFont="1" applyBorder="1" applyAlignment="1">
      <alignment horizontal="center" vertical="top" wrapText="1"/>
    </xf>
    <xf numFmtId="0" fontId="2" fillId="0" borderId="9" xfId="1" applyFont="1" applyBorder="1" applyAlignment="1">
      <alignment horizontal="center" vertical="top" wrapText="1"/>
    </xf>
    <xf numFmtId="0" fontId="13" fillId="0" borderId="38" xfId="0" applyFont="1" applyBorder="1" applyAlignment="1">
      <alignment horizontal="center" vertical="center" wrapText="1"/>
    </xf>
    <xf numFmtId="0" fontId="13" fillId="0" borderId="48" xfId="0" applyFont="1" applyBorder="1" applyAlignment="1">
      <alignment horizontal="center" vertical="center" wrapText="1"/>
    </xf>
    <xf numFmtId="0" fontId="13" fillId="0" borderId="42" xfId="0" applyFont="1" applyBorder="1" applyAlignment="1">
      <alignment horizontal="center" vertical="center" wrapText="1"/>
    </xf>
    <xf numFmtId="0" fontId="19" fillId="7" borderId="38" xfId="0" applyFont="1" applyFill="1" applyBorder="1" applyAlignment="1">
      <alignment wrapText="1"/>
    </xf>
  </cellXfs>
  <cellStyles count="2">
    <cellStyle name="Normal" xfId="0" builtinId="0"/>
    <cellStyle name="Normal 2" xfId="1"/>
  </cellStyles>
  <dxfs count="44">
    <dxf>
      <border>
        <left style="medium">
          <color indexed="64"/>
        </left>
        <right style="medium">
          <color indexed="64"/>
        </right>
        <bottom style="medium">
          <color indexed="64"/>
        </bottom>
      </border>
    </dxf>
    <dxf>
      <fill>
        <patternFill patternType="solid">
          <bgColor indexed="43"/>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alignment horizontal="center" readingOrder="0"/>
    </dxf>
    <dxf>
      <alignment horizontal="center" readingOrder="0"/>
    </dxf>
    <dxf>
      <alignment horizontal="center" readingOrder="0"/>
    </dxf>
    <dxf>
      <alignment horizontal="center" readingOrder="0"/>
    </dxf>
    <dxf>
      <font>
        <b/>
      </font>
    </dxf>
    <dxf>
      <font>
        <b/>
      </font>
    </dxf>
    <dxf>
      <font>
        <b/>
      </font>
    </dxf>
    <dxf>
      <alignment horizontal="center" readingOrder="0"/>
    </dxf>
    <dxf>
      <font>
        <b/>
      </font>
    </dxf>
    <dxf>
      <font>
        <b/>
      </font>
    </dxf>
    <dxf>
      <font>
        <b/>
      </font>
    </dxf>
    <dxf>
      <font>
        <b/>
      </font>
    </dxf>
    <dxf>
      <font>
        <b/>
      </font>
    </dxf>
    <dxf>
      <fill>
        <patternFill patternType="solid">
          <bgColor indexed="42"/>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alignment horizontal="center" readingOrder="0"/>
    </dxf>
  </dxfs>
  <tableStyles count="0" defaultTableStyle="TableStyleMedium9" defaultPivotStyle="PivotStyleLight16"/>
  <colors>
    <mruColors>
      <color rgb="FF00B0F0"/>
      <color rgb="FFE2EFDA"/>
      <color rgb="FFCEE4CB"/>
      <color rgb="FFFDE9D9"/>
      <color rgb="FFE4DFEC"/>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nexuswg.sharepoint.com/sites/Enterprise/Projects/R12%20DMC/5%20-%20Test/PTP/Pass%201/PTP_010_R12_Indirect%20Purchasing%20ECC%20Pallet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rowning G Hollomon" refreshedDate="39386.436179745368" createdVersion="1" refreshedVersion="3" recordCount="137" upgradeOnRefresh="1">
  <cacheSource type="worksheet">
    <worksheetSource ref="A1:N13" sheet="SM-MD Tank Final" r:id="rId2"/>
  </cacheSource>
  <cacheFields count="15">
    <cacheField name="Scenario Number" numFmtId="0">
      <sharedItems containsBlank="1" count="28">
        <m/>
        <s v="Demand Planning"/>
        <s v="FTS001"/>
        <s v="CB Master Scheduling"/>
        <s v="MRP"/>
        <s v="Purchasing, Receiving, Quality inspection and AP"/>
        <s v="Prepare for Production, Production execution and reporting"/>
        <s v="ZZZ999"/>
        <s v="ZZZ001" u="1"/>
        <s v="FTS010" u="1"/>
        <s v="XXX001" u="1"/>
        <s v="FTS011" u="1"/>
        <s v="FTS012" u="1"/>
        <s v="FTS013" u="1"/>
        <s v="FTS014" u="1"/>
        <s v="FTS015" u="1"/>
        <s v="FTS002" u="1"/>
        <s v="FTS016" u="1"/>
        <s v="FTS003" u="1"/>
        <s v="FTS017" u="1"/>
        <s v="FTS004" u="1"/>
        <s v="FTS018" u="1"/>
        <s v="FTS005" u="1"/>
        <s v="FTS006" u="1"/>
        <s v="FTS007" u="1"/>
        <s v="FTS008" u="1"/>
        <s v="FTS009" u="1"/>
        <s v="OTC001" u="1"/>
      </sharedItems>
    </cacheField>
    <cacheField name="Step" numFmtId="0">
      <sharedItems containsString="0" containsBlank="1" containsNumber="1" containsInteger="1" minValue="1" maxValue="46"/>
    </cacheField>
    <cacheField name="Team" numFmtId="0">
      <sharedItems containsBlank="1" count="7">
        <m/>
        <s v="FTS"/>
        <s v="PTP"/>
        <s v="IMWM"/>
        <s v="RTR"/>
        <s v="OTC" u="1"/>
        <s v="XXX" u="1"/>
      </sharedItems>
    </cacheField>
    <cacheField name="Description " numFmtId="0">
      <sharedItems containsBlank="1"/>
    </cacheField>
    <cacheField name="Tcode" numFmtId="0">
      <sharedItems containsBlank="1"/>
    </cacheField>
    <cacheField name="Tester" numFmtId="0">
      <sharedItems containsBlank="1"/>
    </cacheField>
    <cacheField name="Test Data / Test Execution" numFmtId="0">
      <sharedItems containsBlank="1"/>
    </cacheField>
    <cacheField name="Expected Result" numFmtId="0">
      <sharedItems containsBlank="1"/>
    </cacheField>
    <cacheField name="Actual Result" numFmtId="0">
      <sharedItems containsBlank="1"/>
    </cacheField>
    <cacheField name="FI Impact" numFmtId="0">
      <sharedItems containsBlank="1"/>
    </cacheField>
    <cacheField name="RICEF Tested" numFmtId="0">
      <sharedItems containsBlank="1"/>
    </cacheField>
    <cacheField name="TPR #" numFmtId="0">
      <sharedItems containsNonDate="0" containsString="0" containsBlank="1"/>
    </cacheField>
    <cacheField name="Status" numFmtId="0">
      <sharedItems containsBlank="1" count="34">
        <m/>
        <s v="50 - Pass"/>
        <s v="60 - N/A"/>
        <s v="10 - Not Started"/>
        <s v="20 - In-Process"/>
        <s v="30 - TPR Hold"/>
        <s v="40 - DEV Hold"/>
        <s v="8 - Not Started" u="1"/>
        <s v="20 - Defined Not Started" u="1"/>
        <s v="50 DEV Hold" u="1"/>
        <s v="50 - Pass " u="1"/>
        <s v="1 - Not Started" u="1"/>
        <s v="Complete" u="1"/>
        <s v="40 TPR Hold" u="1"/>
        <s v="6 - Not Started" u="1"/>
        <s v="60 - DEV Hold" u="1"/>
        <s v="DEV Hold" u="1"/>
        <s v="10 Not Started" u="1"/>
        <s v="Not Started" u="1"/>
        <s v="40 - Complete" u="1"/>
        <s v="4 - Not Started" u="1"/>
        <s v="9 - Not Started" u="1"/>
        <s v="2 - Not Started" u="1"/>
        <s v="7 - Not Started" u="1"/>
        <s v="TPR Hold" u="1"/>
        <s v="10 - Not Defined" u="1"/>
        <s v="30 Pass" u="1"/>
        <s v="5 - Not Started" u="1"/>
        <s v="30 - In-Process" u="1"/>
        <s v="In Process" u="1"/>
        <s v="50 - TPR Hold" u="1"/>
        <s v="Pass" u="1"/>
        <s v="3 - Not Started" u="1"/>
        <s v="20 In Process" u="1"/>
      </sharedItems>
    </cacheField>
    <cacheField name="User ID" numFmtId="0">
      <sharedItems containsNonDate="0" containsString="0" containsBlank="1"/>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x v="0"/>
    <m/>
    <x v="0"/>
    <m/>
    <m/>
    <m/>
    <m/>
    <m/>
    <m/>
    <s v="Y or N"/>
    <m/>
    <m/>
    <x v="0"/>
    <m/>
    <m/>
  </r>
  <r>
    <x v="1"/>
    <m/>
    <x v="0"/>
    <m/>
    <m/>
    <m/>
    <m/>
    <m/>
    <m/>
    <m/>
    <m/>
    <m/>
    <x v="0"/>
    <m/>
    <m/>
  </r>
  <r>
    <x v="2"/>
    <n v="1"/>
    <x v="1"/>
    <s v="Maintain sales forecast by forecast group changing the forecast for the current period "/>
    <s v="YPPSF1"/>
    <s v="Planner"/>
    <s v="Forecast group= 5040001_x000a_Material = 34636"/>
    <s v="Upload sales forecast update"/>
    <s v="Forecast updated in S800"/>
    <s v="N"/>
    <s v="Y"/>
    <m/>
    <x v="1"/>
    <m/>
    <m/>
  </r>
  <r>
    <x v="2"/>
    <n v="2"/>
    <x v="1"/>
    <s v="Copy  latest sales forecast to manufacturing forecast"/>
    <s v="YPPCP1"/>
    <s v="Planner"/>
    <m/>
    <s v="Updated sales forecast copied except for first 2 periods"/>
    <s v="Forecast copied except first 2 periods"/>
    <s v="N"/>
    <s v="Y"/>
    <m/>
    <x v="1"/>
    <m/>
    <m/>
  </r>
  <r>
    <x v="2"/>
    <n v="3"/>
    <x v="1"/>
    <s v="Maintain manufacturing forecast to incorporate changes made in current and future period._x000a_Transfer to demand management"/>
    <s v="YPPPFC02_x000a_MD63"/>
    <s v="Planner"/>
    <s v="Plant = IA01_x000a_Version = GP"/>
    <s v="Manufacturing forecast transferred to demand management._x000a_First 3 periods are broken down into weekly buckets based on distribution rule_x000a_"/>
    <m/>
    <s v="N"/>
    <s v="Y"/>
    <m/>
    <x v="1"/>
    <m/>
    <m/>
  </r>
  <r>
    <x v="3"/>
    <m/>
    <x v="0"/>
    <m/>
    <m/>
    <m/>
    <m/>
    <m/>
    <m/>
    <m/>
    <m/>
    <m/>
    <x v="0"/>
    <m/>
    <m/>
  </r>
  <r>
    <x v="2"/>
    <n v="4"/>
    <x v="1"/>
    <s v="MPS planning for finished goods"/>
    <s v="MD40"/>
    <s v="Planner"/>
    <s v="Processing type + NETCH"/>
    <s v="All MPS items are planned"/>
    <m/>
    <s v="N"/>
    <m/>
    <m/>
    <x v="1"/>
    <m/>
    <m/>
  </r>
  <r>
    <x v="2"/>
    <n v="5"/>
    <x v="1"/>
    <s v="Evaluate results of MPS run and resolve exception plan to create master schedule"/>
    <s v="MD07"/>
    <s v="Planner"/>
    <s v="Stock requirements list collective display:_x000a_MRP controller = _x000a_Procurement type = _x000a_Review and resolve exception messages"/>
    <s v="Stock requirements list displayed for finished goods"/>
    <m/>
    <s v="N"/>
    <m/>
    <m/>
    <x v="1"/>
    <m/>
    <m/>
  </r>
  <r>
    <x v="2"/>
    <n v="6"/>
    <x v="1"/>
    <s v="Check that PIRs are consumed by sales orders"/>
    <s v="MD63"/>
    <s v="Planner"/>
    <s v="Sales order 13744"/>
    <s v="PIR for the month are reduced by the sales orders"/>
    <m/>
    <s v="N"/>
    <m/>
    <m/>
    <x v="1"/>
    <m/>
    <m/>
  </r>
  <r>
    <x v="4"/>
    <m/>
    <x v="0"/>
    <m/>
    <m/>
    <m/>
    <m/>
    <m/>
    <m/>
    <m/>
    <m/>
    <m/>
    <x v="0"/>
    <m/>
    <m/>
  </r>
  <r>
    <x v="2"/>
    <n v="7"/>
    <x v="1"/>
    <s v="Create master schedule for manufactured finished goods"/>
    <s v="CO41"/>
    <s v="Planner"/>
    <s v="Material 74110"/>
    <s v="Production orders are created"/>
    <s v="Order #'s:_x000a_100004821_x000a_100004822_x000a_100004823"/>
    <s v="Y"/>
    <m/>
    <m/>
    <x v="1"/>
    <m/>
    <m/>
  </r>
  <r>
    <x v="2"/>
    <n v="8"/>
    <x v="1"/>
    <s v="MRP planning for semi-finished goods and raw materials after master schedule is created"/>
    <s v="MD01"/>
    <s v="Planner"/>
    <s v="Processing type + NETCH"/>
    <s v="All MRP items are planned"/>
    <m/>
    <s v="N"/>
    <m/>
    <m/>
    <x v="1"/>
    <m/>
    <m/>
  </r>
  <r>
    <x v="2"/>
    <n v="9"/>
    <x v="1"/>
    <s v="Evaluate results of MRP for semi-finished goods"/>
    <s v="MD07"/>
    <s v="Planner"/>
    <s v="Stock requirements list collective display:_x000a_MRP controller = _x000a_Procurement type = _x000a_Review and resolve exception messages"/>
    <s v="Stock requirements list displayed for finished goods"/>
    <m/>
    <s v="N"/>
    <m/>
    <m/>
    <x v="1"/>
    <m/>
    <m/>
  </r>
  <r>
    <x v="2"/>
    <n v="10"/>
    <x v="1"/>
    <s v="Change MRP master data"/>
    <s v="MM02"/>
    <s v="Planner"/>
    <s v="Material # = 2004268"/>
    <s v="Material master is changed."/>
    <m/>
    <s v="N"/>
    <m/>
    <m/>
    <x v="1"/>
    <m/>
    <m/>
  </r>
  <r>
    <x v="2"/>
    <n v="11"/>
    <x v="1"/>
    <s v="Re-execute MRP for material"/>
    <s v="MD02"/>
    <s v="Planner"/>
    <s v="Processing type + NETCH"/>
    <s v="Planned orders are deleted and new ones are created"/>
    <m/>
    <s v="N"/>
    <m/>
    <m/>
    <x v="1"/>
    <m/>
    <m/>
  </r>
  <r>
    <x v="2"/>
    <n v="12"/>
    <x v="1"/>
    <s v="Evaluate MRP results for single item"/>
    <s v="MD04"/>
    <s v="Planner"/>
    <s v="Material # = 2004268"/>
    <s v="New planned order quantities are in the new lot size and rounding"/>
    <m/>
    <s v="N"/>
    <m/>
    <m/>
    <x v="1"/>
    <m/>
    <m/>
  </r>
  <r>
    <x v="2"/>
    <n v="13"/>
    <x v="1"/>
    <s v="Production order creation for manufactured semi-finished goods"/>
    <s v="CO41"/>
    <s v="Planner"/>
    <s v="Material # = 2004268_x000a_Order type = PP01"/>
    <s v="Production orders are created"/>
    <s v="Order #'s:_x000a_100004824_x000a_100004825_x000a_100004826"/>
    <s v="Y"/>
    <m/>
    <m/>
    <x v="1"/>
    <m/>
    <m/>
  </r>
  <r>
    <x v="5"/>
    <m/>
    <x v="0"/>
    <m/>
    <m/>
    <m/>
    <m/>
    <m/>
    <m/>
    <m/>
    <m/>
    <m/>
    <x v="0"/>
    <m/>
    <m/>
  </r>
  <r>
    <x v="2"/>
    <n v="14"/>
    <x v="2"/>
    <s v="Evaluate results of MRP for purchased components (Enter Buyer number)"/>
    <s v="MD07"/>
    <s v="Buyer"/>
    <s v="Stock requirements list collective display:_x000a_MRP controller = 115_x000a_Procurement type = F_x000a_Review and resolve exception messages"/>
    <s v="Stock requirements list displayed for purchased components"/>
    <m/>
    <s v="N"/>
    <m/>
    <m/>
    <x v="1"/>
    <m/>
    <m/>
  </r>
  <r>
    <x v="2"/>
    <n v="15"/>
    <x v="2"/>
    <s v="Assign Reqs. To suppliers "/>
    <s v="ME57"/>
    <s v="Buyer"/>
    <s v="(If not assigned)_x000a_"/>
    <s v="Purchase Requisitions sourced automatically"/>
    <m/>
    <m/>
    <m/>
    <m/>
    <x v="2"/>
    <m/>
    <m/>
  </r>
  <r>
    <x v="2"/>
    <n v="16"/>
    <x v="2"/>
    <s v="Create purchase orders"/>
    <s v="MD07 "/>
    <s v="Buyer"/>
    <s v="Material 44103_x000a__x000a_"/>
    <s v="Purchase orders are created"/>
    <s v="PO # 4500005119"/>
    <s v="N"/>
    <m/>
    <m/>
    <x v="1"/>
    <m/>
    <m/>
  </r>
  <r>
    <x v="2"/>
    <n v="17"/>
    <x v="2"/>
    <s v="Validate P.O. Data"/>
    <s v="ME22n"/>
    <s v="Buyer"/>
    <s v="Validate the (post to q stock)_x000a_Validate P.O. Output _x000a_Validate Text copy from the material master _x000a_Validate P.O. amt for material in the pricing condition._x000a_Validate text copies from PIR_x000a_Validate the storage location = 2000_x000a_"/>
    <s v="The P.O. will post to quality in the delivery tab &quot;Stock Type&quot; _x000a_The P.O. will output delivery address for the storage location, line items, pricing not to include burden._x000a_Text copies from both Pir and the material master to the P.O._x000a_The AMT rate should co"/>
    <m/>
    <s v="N"/>
    <s v="Y"/>
    <m/>
    <x v="3"/>
    <m/>
    <m/>
  </r>
  <r>
    <x v="2"/>
    <n v="18"/>
    <x v="2"/>
    <s v="Post and AB posting of a date greater than the delivery date"/>
    <s v="ME22n"/>
    <s v="Buyer"/>
    <s v="Date greater than required delivery date"/>
    <s v="The confirmation type allows the ab posting "/>
    <m/>
    <m/>
    <s v="Y"/>
    <m/>
    <x v="1"/>
    <m/>
    <m/>
  </r>
  <r>
    <x v="2"/>
    <n v="19"/>
    <x v="2"/>
    <s v="Run MRP for the material to simulate the nightly run"/>
    <s v="MD02"/>
    <s v="Planner"/>
    <s v="Should pass new requirements date forward to show that the component will be late."/>
    <s v="The new date should be reflected in the MD04 of the component"/>
    <m/>
    <m/>
    <m/>
    <m/>
    <x v="1"/>
    <m/>
    <m/>
  </r>
  <r>
    <x v="2"/>
    <n v="20"/>
    <x v="3"/>
    <s v="Receive the material into stock Q hold "/>
    <s v="Perform MIGO or Use the RF transaction"/>
    <s v="Warehouse"/>
    <s v="Enter the P.O., P.O. item, Material, Vendor batch number , and storage location_x000a__x000a_The system should:_x000a_put in the date of manufacture as today,_x000a_Populate the shelf life based on today + shelf life_x000a_Create a new batch number with the following logic (YYMMDD9999"/>
    <s v="The record in migo should have the following characteristics when completed:_x000a_Batch number_x000a_vendor Batch number_x000a_Shelf life date_x000a_Date of manufacture_x000a_su unit information_x000a_and be posting into quality._x000a_Quality Labels printed"/>
    <s v="PO# 4500005119_x000a_Material # 44103 / IA01_x000a_Batch # generated_x000a_Shelf life was not calculated automatically_x000a_Had to manually populate the date of mfgr_x000a_Qty per SU not populated_x000a__x000a_Did not get expected results because of known master data problems addressed separatel"/>
    <m/>
    <m/>
    <m/>
    <x v="2"/>
    <m/>
    <m/>
  </r>
  <r>
    <x v="2"/>
    <n v="21"/>
    <x v="3"/>
    <s v="Create Transfer Order from Transfer Requirement"/>
    <s v="LT06"/>
    <s v="Warehouse"/>
    <s v="Transfer orders should be created and confirmed to the desired locations "/>
    <s v="or split it to leave some on the doc"/>
    <m/>
    <m/>
    <m/>
    <m/>
    <x v="1"/>
    <m/>
    <m/>
  </r>
  <r>
    <x v="2"/>
    <n v="22"/>
    <x v="3"/>
    <s v="Confirm Transfer Order"/>
    <s v="LT12"/>
    <s v="Warehouse"/>
    <m/>
    <m/>
    <m/>
    <m/>
    <m/>
    <m/>
    <x v="1"/>
    <m/>
    <m/>
  </r>
  <r>
    <x v="2"/>
    <n v="23"/>
    <x v="3"/>
    <s v="Putaway Storage Unit "/>
    <s v="LT09"/>
    <s v="Warehouse"/>
    <m/>
    <m/>
    <m/>
    <m/>
    <m/>
    <m/>
    <x v="1"/>
    <m/>
    <m/>
  </r>
  <r>
    <x v="2"/>
    <n v="24"/>
    <x v="2"/>
    <s v="Quality picks up samples and reviews materials"/>
    <s v="(manual checks) "/>
    <s v="Quality"/>
    <s v="Quality is on the low end."/>
    <s v="purposely damage the materials _x000a_(just seeing if anybody read this) "/>
    <m/>
    <m/>
    <m/>
    <m/>
    <x v="1"/>
    <m/>
    <m/>
  </r>
  <r>
    <x v="2"/>
    <n v="25"/>
    <x v="2"/>
    <s v="Create a notification  with defect, cause,"/>
    <s v="QM01 "/>
    <s v="Quality"/>
    <s v="Create a Z2 notification by Referencing the material document to pull in all the data from both the P.O. and the Material doc. Print the Document"/>
    <s v="The system should find the P.O. and be able to reference it"/>
    <m/>
    <m/>
    <s v="Y"/>
    <m/>
    <x v="1"/>
    <m/>
    <m/>
  </r>
  <r>
    <x v="2"/>
    <n v="26"/>
    <x v="2"/>
    <s v="We decide to use the material.  Update the notification with a disposition"/>
    <s v="qm02 "/>
    <s v="Quality"/>
    <s v="Update the notification that the material is okay to use"/>
    <m/>
    <m/>
    <m/>
    <m/>
    <m/>
    <x v="2"/>
    <m/>
    <m/>
  </r>
  <r>
    <x v="2"/>
    <n v="27"/>
    <x v="2"/>
    <s v="Move stock at the IM level from (Q to Unrestricted)"/>
    <s v="Run new report to be developed "/>
    <s v="Quality"/>
    <s v="IM posting status manual transaction = LQ02"/>
    <m/>
    <m/>
    <m/>
    <m/>
    <m/>
    <x v="1"/>
    <m/>
    <m/>
  </r>
  <r>
    <x v="2"/>
    <n v="28"/>
    <x v="4"/>
    <s v="Receive invoice from vendor "/>
    <s v="MIRO"/>
    <s v="Account Payable "/>
    <s v="P.O. number "/>
    <s v="Invoice posts"/>
    <m/>
    <m/>
    <m/>
    <m/>
    <x v="3"/>
    <m/>
    <m/>
  </r>
  <r>
    <x v="6"/>
    <m/>
    <x v="0"/>
    <m/>
    <m/>
    <m/>
    <m/>
    <m/>
    <m/>
    <m/>
    <m/>
    <m/>
    <x v="0"/>
    <m/>
    <m/>
  </r>
  <r>
    <x v="2"/>
    <n v="29"/>
    <x v="1"/>
    <s v="Schedule production orders"/>
    <s v="YPPPS12"/>
    <s v="Scheduler"/>
    <s v="Production scheduler = "/>
    <s v="Production orders are released."/>
    <s v="Order #'s released:_x000a_100004821_x000a_100004822_x000a_100004823_x000a_100004824_x000a_100004825_x000a_100004826"/>
    <m/>
    <s v="Y"/>
    <m/>
    <x v="1"/>
    <m/>
    <m/>
  </r>
  <r>
    <x v="2"/>
    <n v="30"/>
    <x v="1"/>
    <s v="Determine if there are any missing parts"/>
    <s v="COMAC"/>
    <s v="Scheduler"/>
    <s v="Orders"/>
    <s v="Missing parts reported"/>
    <s v="Missing parts job executed and determined missing parts"/>
    <m/>
    <m/>
    <m/>
    <x v="1"/>
    <m/>
    <m/>
  </r>
  <r>
    <x v="2"/>
    <n v="31"/>
    <x v="1"/>
    <s v="Review missing parts list"/>
    <s v="CO24"/>
    <s v="Scheduler"/>
    <m/>
    <s v="co24 lists missing parts"/>
    <s v="Missing parts reported on CO24"/>
    <m/>
    <m/>
    <m/>
    <x v="1"/>
    <m/>
    <m/>
  </r>
  <r>
    <x v="2"/>
    <n v="32"/>
    <x v="1"/>
    <s v="Request transfer of materials from warehouse to staging area"/>
    <s v="YPPST1"/>
    <s v="Material handler"/>
    <m/>
    <s v="Transfer order created"/>
    <s v="Order #'s:_x000a_100004822_x000a_100004825"/>
    <m/>
    <m/>
    <m/>
    <x v="1"/>
    <m/>
    <m/>
  </r>
  <r>
    <x v="2"/>
    <n v="33"/>
    <x v="3"/>
    <s v="Materials are transferred"/>
    <s v="Custom RF Transaction"/>
    <s v="Warehouse"/>
    <m/>
    <s v="Transfer orders are confirmed"/>
    <m/>
    <m/>
    <m/>
    <m/>
    <x v="1"/>
    <m/>
    <m/>
  </r>
  <r>
    <x v="2"/>
    <n v="34"/>
    <x v="1"/>
    <s v="Check that materials in staging area are allocated to the order"/>
    <s v="YLE_RFQUERY"/>
    <s v="Material handler"/>
    <s v="Validate material allocation in staging area"/>
    <s v="All materials are allocated to the order"/>
    <m/>
    <m/>
    <m/>
    <m/>
    <x v="1"/>
    <m/>
    <m/>
  </r>
  <r>
    <x v="2"/>
    <n v="35"/>
    <x v="1"/>
    <s v="Generate batch number"/>
    <s v="YPPCB"/>
    <s v="Material handler"/>
    <m/>
    <s v="Batch number is created and assigned to the production order"/>
    <m/>
    <m/>
    <m/>
    <m/>
    <x v="1"/>
    <m/>
    <m/>
  </r>
  <r>
    <x v="2"/>
    <n v="36"/>
    <x v="1"/>
    <s v="Produce the semi-finished product"/>
    <s v="YPPGR"/>
    <s v="Material handler"/>
    <s v="Production order #_x000a_Quantity = "/>
    <s v="Material is received as Quality inspection stock_x000a_Order is confirmed"/>
    <m/>
    <m/>
    <m/>
    <m/>
    <x v="1"/>
    <m/>
    <m/>
  </r>
  <r>
    <x v="2"/>
    <n v="37"/>
    <x v="1"/>
    <s v="Report actual material consumption"/>
    <s v="YPPGI"/>
    <s v="Material handler"/>
    <s v="Components list: numerous components"/>
    <s v="Inventory is decreased by actual consumption"/>
    <m/>
    <m/>
    <m/>
    <m/>
    <x v="1"/>
    <m/>
    <m/>
  </r>
  <r>
    <x v="2"/>
    <n v="38"/>
    <x v="3"/>
    <s v="Move produced material to staging area"/>
    <s v="Cutom RF Transaction"/>
    <s v="Warehouse"/>
    <s v="Move product to staging area for putaway"/>
    <m/>
    <s v="No movement needed - received into PSA"/>
    <m/>
    <m/>
    <m/>
    <x v="1"/>
    <m/>
    <m/>
  </r>
  <r>
    <x v="2"/>
    <n v="39"/>
    <x v="3"/>
    <s v="Return unused components to returns area"/>
    <s v="LT01"/>
    <s v="Warehouse"/>
    <m/>
    <m/>
    <m/>
    <m/>
    <m/>
    <m/>
    <x v="2"/>
    <m/>
    <m/>
  </r>
  <r>
    <x v="2"/>
    <n v="40"/>
    <x v="2"/>
    <s v="Process WM Posting Change from Quality to Unrestricted"/>
    <s v="LQ02"/>
    <s v="Quality Group"/>
    <s v="Material =_x000a_Batch = _x000a_"/>
    <s v="Material / Batch moved to Unrestricted status"/>
    <m/>
    <s v="N"/>
    <m/>
    <m/>
    <x v="1"/>
    <m/>
    <m/>
  </r>
  <r>
    <x v="2"/>
    <n v="41"/>
    <x v="1"/>
    <s v="Check that materials in staging area are allocated to the order"/>
    <s v="YLE_RFQUERY"/>
    <s v="Material handler"/>
    <s v="Validate material allocation in staging area"/>
    <s v="All materials are allocated to the order"/>
    <m/>
    <m/>
    <m/>
    <m/>
    <x v="1"/>
    <m/>
    <m/>
  </r>
  <r>
    <x v="2"/>
    <n v="42"/>
    <x v="1"/>
    <s v="Generate batch number"/>
    <s v="YPPCB"/>
    <s v="Material handler"/>
    <m/>
    <s v="Batch number from semi-finished product is assigned to the production order for the finished product "/>
    <m/>
    <m/>
    <m/>
    <m/>
    <x v="1"/>
    <m/>
    <m/>
  </r>
  <r>
    <x v="2"/>
    <n v="43"/>
    <x v="1"/>
    <s v="Produce the product"/>
    <s v="YPPGR"/>
    <s v="Material handler"/>
    <s v="Production order #100004822_x000a_Quantity = 4000 EA"/>
    <s v="Material is received as Quality inspection stock_x000a_Order is confirmed"/>
    <m/>
    <m/>
    <m/>
    <m/>
    <x v="1"/>
    <m/>
    <m/>
  </r>
  <r>
    <x v="2"/>
    <n v="44"/>
    <x v="1"/>
    <s v="Report actual material consumption"/>
    <s v="YPPGI"/>
    <s v="Material handler"/>
    <s v="Components list:_x000a_2004268_x000a_2008372_x000a_742531_x000a_741722"/>
    <s v="Inventory is decreased by actual consumption"/>
    <m/>
    <m/>
    <m/>
    <m/>
    <x v="1"/>
    <m/>
    <m/>
  </r>
  <r>
    <x v="2"/>
    <n v="45"/>
    <x v="3"/>
    <s v="Move produced material to staging area"/>
    <s v="Cutom RF Transaction"/>
    <s v="Warehouse"/>
    <s v="Move product to staging area for putaway"/>
    <m/>
    <m/>
    <m/>
    <m/>
    <m/>
    <x v="2"/>
    <m/>
    <m/>
  </r>
  <r>
    <x v="2"/>
    <n v="46"/>
    <x v="3"/>
    <s v="Return unused components to returns area"/>
    <s v="LT01"/>
    <s v="Warehouse"/>
    <m/>
    <m/>
    <m/>
    <m/>
    <m/>
    <m/>
    <x v="2"/>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0"/>
    <m/>
    <x v="0"/>
    <m/>
    <m/>
    <m/>
    <m/>
    <m/>
    <m/>
    <m/>
    <m/>
    <m/>
    <x v="0"/>
    <m/>
    <m/>
  </r>
  <r>
    <x v="7"/>
    <n v="1"/>
    <x v="1"/>
    <m/>
    <m/>
    <m/>
    <m/>
    <m/>
    <m/>
    <m/>
    <m/>
    <m/>
    <x v="0"/>
    <m/>
    <m/>
  </r>
  <r>
    <x v="7"/>
    <n v="2"/>
    <x v="1"/>
    <m/>
    <m/>
    <m/>
    <m/>
    <m/>
    <m/>
    <m/>
    <m/>
    <m/>
    <x v="3"/>
    <m/>
    <m/>
  </r>
  <r>
    <x v="7"/>
    <n v="3"/>
    <x v="1"/>
    <m/>
    <m/>
    <m/>
    <m/>
    <m/>
    <m/>
    <m/>
    <m/>
    <m/>
    <x v="4"/>
    <m/>
    <m/>
  </r>
  <r>
    <x v="7"/>
    <n v="4"/>
    <x v="1"/>
    <m/>
    <m/>
    <m/>
    <m/>
    <m/>
    <m/>
    <m/>
    <m/>
    <m/>
    <x v="5"/>
    <m/>
    <m/>
  </r>
  <r>
    <x v="7"/>
    <n v="5"/>
    <x v="1"/>
    <m/>
    <m/>
    <m/>
    <m/>
    <m/>
    <m/>
    <m/>
    <m/>
    <m/>
    <x v="6"/>
    <m/>
    <m/>
  </r>
  <r>
    <x v="7"/>
    <n v="6"/>
    <x v="1"/>
    <m/>
    <m/>
    <m/>
    <m/>
    <m/>
    <m/>
    <m/>
    <m/>
    <m/>
    <x v="1"/>
    <m/>
    <m/>
  </r>
  <r>
    <x v="7"/>
    <n v="7"/>
    <x v="1"/>
    <m/>
    <m/>
    <m/>
    <m/>
    <m/>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Data" updatedVersion="3" showMemberPropertyTips="0" useAutoFormatting="1" itemPrintTitles="1" createdVersion="1" indent="0" compact="0" compactData="0" gridDropZones="1">
  <location ref="A3:J12" firstHeaderRow="1" firstDataRow="2" firstDataCol="2"/>
  <pivotFields count="15">
    <pivotField axis="axisRow" compact="0" outline="0" subtotalTop="0" showAll="0" includeNewItemsInFilter="1">
      <items count="29">
        <item h="1" m="1" x="27"/>
        <item h="1" x="0"/>
        <item h="1" m="1" x="10"/>
        <item n="PP_018" x="2"/>
        <item m="1" x="8"/>
        <item x="7"/>
        <item m="1" x="16"/>
        <item m="1" x="18"/>
        <item m="1" x="20"/>
        <item m="1" x="22"/>
        <item m="1" x="23"/>
        <item m="1" x="24"/>
        <item m="1" x="25"/>
        <item m="1" x="26"/>
        <item m="1" x="9"/>
        <item m="1" x="11"/>
        <item m="1" x="12"/>
        <item m="1" x="13"/>
        <item m="1" x="14"/>
        <item m="1" x="15"/>
        <item m="1" x="17"/>
        <item m="1" x="19"/>
        <item m="1" x="21"/>
        <item x="1"/>
        <item x="3"/>
        <item x="4"/>
        <item x="5"/>
        <item x="6"/>
        <item t="default"/>
      </items>
    </pivotField>
    <pivotField compact="0" outline="0" subtotalTop="0" showAll="0" includeNewItemsInFilter="1"/>
    <pivotField axis="axisRow" compact="0" outline="0" subtotalTop="0" showAll="0" includeNewItemsInFilter="1">
      <items count="8">
        <item h="1" x="0"/>
        <item m="1" x="5"/>
        <item x="4"/>
        <item x="2"/>
        <item n="PP" x="1"/>
        <item m="1" x="6"/>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Col" dataField="1" compact="0" outline="0" subtotalTop="0" showAll="0" includeNewItemsInFilter="1">
      <items count="35">
        <item m="1" x="12"/>
        <item m="1" x="16"/>
        <item m="1" x="29"/>
        <item m="1" x="31"/>
        <item m="1" x="24"/>
        <item x="0"/>
        <item m="1" x="17"/>
        <item m="1" x="33"/>
        <item m="1" x="26"/>
        <item m="1" x="13"/>
        <item m="1" x="9"/>
        <item m="1" x="25"/>
        <item m="1" x="8"/>
        <item m="1" x="28"/>
        <item m="1" x="19"/>
        <item m="1" x="30"/>
        <item m="1" x="15"/>
        <item x="3"/>
        <item x="4"/>
        <item x="5"/>
        <item x="6"/>
        <item m="1" x="10"/>
        <item m="1" x="18"/>
        <item m="1" x="11"/>
        <item m="1" x="22"/>
        <item m="1" x="32"/>
        <item m="1" x="20"/>
        <item m="1" x="27"/>
        <item m="1" x="14"/>
        <item m="1" x="23"/>
        <item m="1" x="7"/>
        <item m="1" x="21"/>
        <item x="1"/>
        <item x="2"/>
        <item t="default"/>
      </items>
    </pivotField>
    <pivotField compact="0" outline="0" subtotalTop="0" showAll="0" includeNewItemsInFilter="1"/>
    <pivotField compact="0" outline="0" subtotalTop="0" showAll="0" includeNewItemsInFilter="1"/>
  </pivotFields>
  <rowFields count="2">
    <field x="0"/>
    <field x="2"/>
  </rowFields>
  <rowItems count="8">
    <i>
      <x v="3"/>
      <x v="2"/>
    </i>
    <i r="1">
      <x v="3"/>
    </i>
    <i r="1">
      <x v="4"/>
    </i>
    <i r="1">
      <x v="6"/>
    </i>
    <i t="default">
      <x v="3"/>
    </i>
    <i>
      <x v="5"/>
      <x v="4"/>
    </i>
    <i t="default">
      <x v="5"/>
    </i>
    <i t="grand">
      <x/>
    </i>
  </rowItems>
  <colFields count="1">
    <field x="12"/>
  </colFields>
  <colItems count="8">
    <i>
      <x v="5"/>
    </i>
    <i>
      <x v="17"/>
    </i>
    <i>
      <x v="18"/>
    </i>
    <i>
      <x v="19"/>
    </i>
    <i>
      <x v="20"/>
    </i>
    <i>
      <x v="32"/>
    </i>
    <i>
      <x v="33"/>
    </i>
    <i t="grand">
      <x/>
    </i>
  </colItems>
  <dataFields count="1">
    <dataField name="Count of Status" fld="12" subtotal="count" baseField="0" baseItem="0"/>
  </dataFields>
  <formats count="44">
    <format dxfId="43">
      <pivotArea outline="0" fieldPosition="0"/>
    </format>
    <format dxfId="42">
      <pivotArea type="origin" dataOnly="0" labelOnly="1" outline="0" fieldPosition="0"/>
    </format>
    <format dxfId="41">
      <pivotArea field="2" type="button" dataOnly="0" labelOnly="1" outline="0" axis="axisRow" fieldPosition="1"/>
    </format>
    <format dxfId="40">
      <pivotArea dataOnly="0" labelOnly="1" outline="0" fieldPosition="0">
        <references count="1">
          <reference field="2" count="0"/>
        </references>
      </pivotArea>
    </format>
    <format dxfId="39">
      <pivotArea dataOnly="0" labelOnly="1" grandRow="1" outline="0" fieldPosition="0"/>
    </format>
    <format dxfId="38">
      <pivotArea type="topRight" dataOnly="0" labelOnly="1" outline="0" fieldPosition="0"/>
    </format>
    <format dxfId="37">
      <pivotArea dataOnly="0" labelOnly="1" grandCol="1" outline="0" fieldPosition="0"/>
    </format>
    <format dxfId="36">
      <pivotArea outline="0" fieldPosition="0"/>
    </format>
    <format dxfId="35">
      <pivotArea type="origin" dataOnly="0" labelOnly="1" outline="0" fieldPosition="0"/>
    </format>
    <format dxfId="34">
      <pivotArea field="2" type="button" dataOnly="0" labelOnly="1" outline="0" axis="axisRow" fieldPosition="1"/>
    </format>
    <format dxfId="33">
      <pivotArea dataOnly="0" labelOnly="1" outline="0" fieldPosition="0">
        <references count="1">
          <reference field="2" count="0"/>
        </references>
      </pivotArea>
    </format>
    <format dxfId="32">
      <pivotArea dataOnly="0" labelOnly="1" grandRow="1" outline="0" fieldPosition="0"/>
    </format>
    <format dxfId="31">
      <pivotArea dataOnly="0" labelOnly="1" grandCol="1" outline="0" fieldPosition="0"/>
    </format>
    <format dxfId="30">
      <pivotArea dataOnly="0" labelOnly="1" grandCol="1" outline="0" fieldPosition="0"/>
    </format>
    <format dxfId="29">
      <pivotArea field="12" type="button" dataOnly="0" labelOnly="1" outline="0" axis="axisCol" fieldPosition="0"/>
    </format>
    <format dxfId="28">
      <pivotArea type="topRight" dataOnly="0" labelOnly="1" outline="0" fieldPosition="0"/>
    </format>
    <format dxfId="27">
      <pivotArea dataOnly="0" labelOnly="1" outline="0" fieldPosition="0">
        <references count="1">
          <reference field="12" count="5">
            <x v="6"/>
            <x v="7"/>
            <x v="8"/>
            <x v="9"/>
            <x v="10"/>
          </reference>
        </references>
      </pivotArea>
    </format>
    <format dxfId="26">
      <pivotArea outline="0" fieldPosition="0">
        <references count="1">
          <reference field="12" count="5" selected="0">
            <x v="6"/>
            <x v="7"/>
            <x v="8"/>
            <x v="9"/>
            <x v="10"/>
          </reference>
        </references>
      </pivotArea>
    </format>
    <format dxfId="25">
      <pivotArea field="12" type="button" dataOnly="0" labelOnly="1" outline="0" axis="axisCol" fieldPosition="0"/>
    </format>
    <format dxfId="24">
      <pivotArea type="topRight" dataOnly="0" labelOnly="1" outline="0" fieldPosition="0"/>
    </format>
    <format dxfId="23">
      <pivotArea dataOnly="0" labelOnly="1" outline="0" fieldPosition="0">
        <references count="1">
          <reference field="12" count="5">
            <x v="6"/>
            <x v="7"/>
            <x v="8"/>
            <x v="9"/>
            <x v="10"/>
          </reference>
        </references>
      </pivotArea>
    </format>
    <format dxfId="22">
      <pivotArea dataOnly="0" labelOnly="1" outline="0" fieldPosition="0">
        <references count="1">
          <reference field="0" count="1">
            <x v="0"/>
          </reference>
        </references>
      </pivotArea>
    </format>
    <format dxfId="21">
      <pivotArea dataOnly="0" labelOnly="1" outline="0" fieldPosition="0">
        <references count="1">
          <reference field="0" count="1" defaultSubtotal="1">
            <x v="0"/>
          </reference>
        </references>
      </pivotArea>
    </format>
    <format dxfId="20">
      <pivotArea dataOnly="0" labelOnly="1" outline="0" fieldPosition="0">
        <references count="2">
          <reference field="0" count="1" selected="0">
            <x v="0"/>
          </reference>
          <reference field="2" count="0"/>
        </references>
      </pivotArea>
    </format>
    <format dxfId="19">
      <pivotArea dataOnly="0" labelOnly="1" outline="0" fieldPosition="0">
        <references count="1">
          <reference field="0" count="1">
            <x v="2"/>
          </reference>
        </references>
      </pivotArea>
    </format>
    <format dxfId="18">
      <pivotArea dataOnly="0" labelOnly="1" outline="0" fieldPosition="0">
        <references count="1">
          <reference field="0" count="1" defaultSubtotal="1">
            <x v="2"/>
          </reference>
        </references>
      </pivotArea>
    </format>
    <format dxfId="17">
      <pivotArea dataOnly="0" labelOnly="1" outline="0" fieldPosition="0">
        <references count="2">
          <reference field="0" count="1" selected="0">
            <x v="2"/>
          </reference>
          <reference field="2" count="1">
            <x v="1"/>
          </reference>
        </references>
      </pivotArea>
    </format>
    <format dxfId="16">
      <pivotArea type="all" dataOnly="0" outline="0" fieldPosition="0"/>
    </format>
    <format dxfId="15">
      <pivotArea outline="0" fieldPosition="0">
        <references count="1">
          <reference field="0" count="1" selected="0" defaultSubtotal="1">
            <x v="0"/>
          </reference>
        </references>
      </pivotArea>
    </format>
    <format dxfId="14">
      <pivotArea dataOnly="0" labelOnly="1" outline="0" fieldPosition="0">
        <references count="1">
          <reference field="0" count="1" defaultSubtotal="1">
            <x v="0"/>
          </reference>
        </references>
      </pivotArea>
    </format>
    <format dxfId="13">
      <pivotArea outline="0" fieldPosition="0">
        <references count="1">
          <reference field="0" count="1" selected="0" defaultSubtotal="1">
            <x v="3"/>
          </reference>
        </references>
      </pivotArea>
    </format>
    <format dxfId="12">
      <pivotArea outline="0" fieldPosition="0">
        <references count="1">
          <reference field="0" count="1" selected="0">
            <x v="5"/>
          </reference>
        </references>
      </pivotArea>
    </format>
    <format dxfId="11">
      <pivotArea type="origin" dataOnly="0" labelOnly="1" outline="0" fieldPosition="0"/>
    </format>
    <format dxfId="10">
      <pivotArea field="0" type="button" dataOnly="0" labelOnly="1" outline="0" axis="axisRow" fieldPosition="0"/>
    </format>
    <format dxfId="9">
      <pivotArea field="2" type="button" dataOnly="0" labelOnly="1" outline="0" axis="axisRow" fieldPosition="1"/>
    </format>
    <format dxfId="8">
      <pivotArea field="12" type="button" dataOnly="0" labelOnly="1" outline="0" axis="axisCol" fieldPosition="0"/>
    </format>
    <format dxfId="7">
      <pivotArea type="topRight" dataOnly="0" labelOnly="1" outline="0" fieldPosition="0"/>
    </format>
    <format dxfId="6">
      <pivotArea dataOnly="0" labelOnly="1" outline="0" fieldPosition="0">
        <references count="1">
          <reference field="0" count="0"/>
        </references>
      </pivotArea>
    </format>
    <format dxfId="5">
      <pivotArea dataOnly="0" labelOnly="1" outline="0" fieldPosition="0">
        <references count="1">
          <reference field="0" count="1" defaultSubtotal="1">
            <x v="3"/>
          </reference>
        </references>
      </pivotArea>
    </format>
    <format dxfId="4">
      <pivotArea dataOnly="0" labelOnly="1" outline="0" fieldPosition="0">
        <references count="2">
          <reference field="0" count="1" selected="0">
            <x v="3"/>
          </reference>
          <reference field="2" count="0"/>
        </references>
      </pivotArea>
    </format>
    <format dxfId="3">
      <pivotArea dataOnly="0" labelOnly="1" outline="0" fieldPosition="0">
        <references count="2">
          <reference field="0" count="1" selected="0">
            <x v="5"/>
          </reference>
          <reference field="2" count="2">
            <x v="4"/>
            <x v="6"/>
          </reference>
        </references>
      </pivotArea>
    </format>
    <format dxfId="2">
      <pivotArea dataOnly="0" labelOnly="1" grandCol="1" outline="0" fieldPosition="0"/>
    </format>
    <format dxfId="1">
      <pivotArea dataOnly="0" labelOnly="1" outline="0" fieldPosition="0">
        <references count="1">
          <reference field="12" count="0"/>
        </references>
      </pivotArea>
    </format>
    <format dxfId="0">
      <pivotArea dataOnly="0" labelOnly="1" outline="0" fieldPosition="0">
        <references count="1">
          <reference field="12" count="0"/>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0"/>
  <sheetViews>
    <sheetView zoomScale="200" zoomScaleNormal="200" workbookViewId="0">
      <selection activeCell="A9" sqref="A9:E15"/>
    </sheetView>
  </sheetViews>
  <sheetFormatPr defaultColWidth="9.109375" defaultRowHeight="11.4" x14ac:dyDescent="0.2"/>
  <cols>
    <col min="1" max="2" width="25.88671875" style="38" customWidth="1"/>
    <col min="3" max="3" width="25" style="38" customWidth="1"/>
    <col min="4" max="4" width="25.88671875" style="38" customWidth="1"/>
    <col min="5" max="5" width="34.88671875" style="38" customWidth="1"/>
    <col min="6" max="14" width="40.88671875" style="38" customWidth="1"/>
    <col min="15" max="16384" width="9.109375" style="38"/>
  </cols>
  <sheetData>
    <row r="1" spans="1:6" ht="14.1" customHeight="1" thickBot="1" x14ac:dyDescent="0.3">
      <c r="A1" s="34" t="s">
        <v>0</v>
      </c>
      <c r="B1" s="35"/>
      <c r="C1" s="36"/>
      <c r="D1" s="36"/>
      <c r="E1" s="37"/>
    </row>
    <row r="2" spans="1:6" ht="14.1" customHeight="1" thickBot="1" x14ac:dyDescent="0.25">
      <c r="A2" s="39" t="s">
        <v>1</v>
      </c>
      <c r="B2" s="96"/>
      <c r="C2" s="97"/>
      <c r="D2" s="40"/>
      <c r="E2" s="41"/>
    </row>
    <row r="3" spans="1:6" ht="12" customHeight="1" x14ac:dyDescent="0.2">
      <c r="A3" s="39" t="s">
        <v>2</v>
      </c>
      <c r="B3" s="98" t="s">
        <v>3</v>
      </c>
      <c r="C3" s="99"/>
      <c r="D3" s="99"/>
      <c r="E3" s="100"/>
    </row>
    <row r="4" spans="1:6" ht="12" x14ac:dyDescent="0.2">
      <c r="A4" s="39" t="s">
        <v>4</v>
      </c>
      <c r="B4" s="98" t="s">
        <v>5</v>
      </c>
      <c r="C4" s="99"/>
      <c r="D4" s="99"/>
      <c r="E4" s="100"/>
    </row>
    <row r="5" spans="1:6" ht="12" customHeight="1" x14ac:dyDescent="0.2">
      <c r="A5" s="101" t="s">
        <v>6</v>
      </c>
      <c r="B5" s="95"/>
      <c r="C5" s="95"/>
      <c r="D5" s="95"/>
      <c r="E5" s="103"/>
    </row>
    <row r="6" spans="1:6" ht="14.1" customHeight="1" thickBot="1" x14ac:dyDescent="0.25">
      <c r="A6" s="102"/>
      <c r="B6" s="104"/>
      <c r="C6" s="104"/>
      <c r="D6" s="104"/>
      <c r="E6" s="105"/>
    </row>
    <row r="7" spans="1:6" ht="12" thickBot="1" x14ac:dyDescent="0.25">
      <c r="A7" s="42"/>
      <c r="E7" s="43"/>
    </row>
    <row r="8" spans="1:6" ht="12.75" customHeight="1" thickBot="1" x14ac:dyDescent="0.25">
      <c r="A8" s="106" t="s">
        <v>7</v>
      </c>
      <c r="B8" s="107"/>
      <c r="C8" s="107"/>
      <c r="D8" s="107"/>
      <c r="E8" s="108"/>
    </row>
    <row r="9" spans="1:6" ht="12.75" customHeight="1" x14ac:dyDescent="0.2">
      <c r="A9" s="109" t="s">
        <v>8</v>
      </c>
      <c r="B9" s="110"/>
      <c r="C9" s="110"/>
      <c r="D9" s="110"/>
      <c r="E9" s="111"/>
    </row>
    <row r="10" spans="1:6" ht="12.75" customHeight="1" x14ac:dyDescent="0.2">
      <c r="A10" s="112"/>
      <c r="B10" s="113"/>
      <c r="C10" s="113"/>
      <c r="D10" s="113"/>
      <c r="E10" s="114"/>
    </row>
    <row r="11" spans="1:6" ht="12.75" customHeight="1" x14ac:dyDescent="0.2">
      <c r="A11" s="112"/>
      <c r="B11" s="113"/>
      <c r="C11" s="113"/>
      <c r="D11" s="113"/>
      <c r="E11" s="114"/>
    </row>
    <row r="12" spans="1:6" ht="12.75" customHeight="1" x14ac:dyDescent="0.2">
      <c r="A12" s="112"/>
      <c r="B12" s="113"/>
      <c r="C12" s="113"/>
      <c r="D12" s="113"/>
      <c r="E12" s="114"/>
      <c r="F12" s="38" t="s">
        <v>9</v>
      </c>
    </row>
    <row r="13" spans="1:6" ht="12.75" customHeight="1" x14ac:dyDescent="0.2">
      <c r="A13" s="112"/>
      <c r="B13" s="113"/>
      <c r="C13" s="113"/>
      <c r="D13" s="113"/>
      <c r="E13" s="114"/>
    </row>
    <row r="14" spans="1:6" ht="12.75" customHeight="1" x14ac:dyDescent="0.2">
      <c r="A14" s="112"/>
      <c r="B14" s="113"/>
      <c r="C14" s="113"/>
      <c r="D14" s="113"/>
      <c r="E14" s="114"/>
    </row>
    <row r="15" spans="1:6" ht="12.75" customHeight="1" thickBot="1" x14ac:dyDescent="0.25">
      <c r="A15" s="112"/>
      <c r="B15" s="113"/>
      <c r="C15" s="113"/>
      <c r="D15" s="113"/>
      <c r="E15" s="114"/>
    </row>
    <row r="16" spans="1:6" ht="12.6" thickBot="1" x14ac:dyDescent="0.25">
      <c r="A16" s="44" t="s">
        <v>10</v>
      </c>
      <c r="B16" s="45" t="s">
        <v>11</v>
      </c>
      <c r="C16" s="45" t="s">
        <v>12</v>
      </c>
      <c r="D16" s="45" t="s">
        <v>13</v>
      </c>
      <c r="E16" s="46"/>
    </row>
    <row r="17" spans="1:5" x14ac:dyDescent="0.2">
      <c r="A17" s="69"/>
      <c r="B17" s="48"/>
      <c r="C17" s="49"/>
      <c r="D17" s="115"/>
      <c r="E17" s="116"/>
    </row>
    <row r="18" spans="1:5" ht="12" x14ac:dyDescent="0.25">
      <c r="A18" s="67"/>
      <c r="B18" s="49"/>
      <c r="C18" s="49"/>
      <c r="D18" s="92"/>
      <c r="E18" s="117"/>
    </row>
    <row r="19" spans="1:5" ht="12" x14ac:dyDescent="0.25">
      <c r="A19" s="68"/>
      <c r="B19" s="49"/>
      <c r="C19" s="49"/>
      <c r="D19" s="92"/>
      <c r="E19" s="117"/>
    </row>
    <row r="20" spans="1:5" x14ac:dyDescent="0.2">
      <c r="B20" s="49"/>
      <c r="C20" s="49"/>
      <c r="D20" s="92"/>
      <c r="E20" s="117"/>
    </row>
    <row r="21" spans="1:5" x14ac:dyDescent="0.2">
      <c r="B21" s="50"/>
      <c r="C21" s="49"/>
      <c r="D21" s="92"/>
      <c r="E21" s="117"/>
    </row>
    <row r="22" spans="1:5" x14ac:dyDescent="0.2">
      <c r="A22" s="47"/>
      <c r="B22" s="48"/>
      <c r="C22" s="49"/>
      <c r="D22" s="92"/>
      <c r="E22" s="117"/>
    </row>
    <row r="23" spans="1:5" x14ac:dyDescent="0.2">
      <c r="A23" s="47"/>
      <c r="B23" s="48"/>
      <c r="C23" s="49"/>
      <c r="D23" s="92"/>
      <c r="E23" s="117"/>
    </row>
    <row r="24" spans="1:5" ht="12" thickBot="1" x14ac:dyDescent="0.25">
      <c r="A24" s="51"/>
      <c r="D24" s="92"/>
      <c r="E24" s="117"/>
    </row>
    <row r="25" spans="1:5" ht="12.6" thickBot="1" x14ac:dyDescent="0.25">
      <c r="A25" s="44" t="s">
        <v>14</v>
      </c>
      <c r="B25" s="45"/>
      <c r="C25" s="45"/>
      <c r="D25" s="45"/>
      <c r="E25" s="46"/>
    </row>
    <row r="26" spans="1:5" ht="12" customHeight="1" x14ac:dyDescent="0.2">
      <c r="A26" s="94"/>
      <c r="B26" s="95"/>
      <c r="C26" s="95"/>
      <c r="D26" s="95"/>
      <c r="E26" s="43"/>
    </row>
    <row r="27" spans="1:5" x14ac:dyDescent="0.2">
      <c r="A27" s="94"/>
      <c r="B27" s="95"/>
      <c r="C27" s="95"/>
      <c r="D27" s="95"/>
      <c r="E27" s="43"/>
    </row>
    <row r="28" spans="1:5" x14ac:dyDescent="0.2">
      <c r="A28" s="94"/>
      <c r="B28" s="95"/>
      <c r="C28" s="95"/>
      <c r="D28" s="95"/>
      <c r="E28" s="43"/>
    </row>
    <row r="29" spans="1:5" x14ac:dyDescent="0.2">
      <c r="A29" s="94"/>
      <c r="B29" s="95"/>
      <c r="C29" s="95"/>
      <c r="D29" s="95"/>
      <c r="E29" s="43"/>
    </row>
    <row r="30" spans="1:5" ht="12" thickBot="1" x14ac:dyDescent="0.25">
      <c r="A30" s="51"/>
      <c r="E30" s="43"/>
    </row>
    <row r="31" spans="1:5" ht="12.6" thickBot="1" x14ac:dyDescent="0.25">
      <c r="A31" s="44" t="s">
        <v>15</v>
      </c>
      <c r="B31" s="45"/>
      <c r="C31" s="45"/>
      <c r="D31" s="45"/>
      <c r="E31" s="46"/>
    </row>
    <row r="32" spans="1:5" x14ac:dyDescent="0.2">
      <c r="A32" s="94" t="s">
        <v>16</v>
      </c>
      <c r="B32" s="95"/>
      <c r="C32" s="95"/>
      <c r="D32" s="95"/>
      <c r="E32" s="43"/>
    </row>
    <row r="33" spans="1:5" x14ac:dyDescent="0.2">
      <c r="A33" s="94" t="s">
        <v>17</v>
      </c>
      <c r="B33" s="95"/>
      <c r="C33" s="95"/>
      <c r="D33" s="95"/>
      <c r="E33" s="43"/>
    </row>
    <row r="34" spans="1:5" x14ac:dyDescent="0.2">
      <c r="A34" s="94" t="s">
        <v>18</v>
      </c>
      <c r="B34" s="95"/>
      <c r="C34" s="95"/>
      <c r="D34" s="95"/>
      <c r="E34" s="43"/>
    </row>
    <row r="35" spans="1:5" ht="12.75" customHeight="1" x14ac:dyDescent="0.2">
      <c r="A35" s="94" t="s">
        <v>19</v>
      </c>
      <c r="B35" s="95"/>
      <c r="C35" s="95"/>
      <c r="D35" s="95"/>
      <c r="E35" s="52"/>
    </row>
    <row r="36" spans="1:5" x14ac:dyDescent="0.2">
      <c r="A36" s="92"/>
      <c r="B36" s="93"/>
      <c r="C36" s="93"/>
      <c r="D36" s="93"/>
      <c r="E36" s="43"/>
    </row>
    <row r="37" spans="1:5" x14ac:dyDescent="0.2">
      <c r="A37" s="92"/>
      <c r="B37" s="93"/>
      <c r="C37" s="93"/>
      <c r="D37" s="93"/>
      <c r="E37" s="43"/>
    </row>
    <row r="38" spans="1:5" ht="12" thickBot="1" x14ac:dyDescent="0.25">
      <c r="A38" s="53" t="s">
        <v>20</v>
      </c>
      <c r="E38" s="43"/>
    </row>
    <row r="39" spans="1:5" ht="12.6" thickBot="1" x14ac:dyDescent="0.25">
      <c r="A39" s="54" t="s">
        <v>21</v>
      </c>
      <c r="B39" s="55" t="s">
        <v>22</v>
      </c>
      <c r="C39" s="55" t="s">
        <v>23</v>
      </c>
      <c r="D39" s="55" t="s">
        <v>13</v>
      </c>
      <c r="E39" s="46"/>
    </row>
    <row r="40" spans="1:5" x14ac:dyDescent="0.2">
      <c r="A40" s="56"/>
      <c r="B40" s="57"/>
      <c r="C40" s="57"/>
      <c r="D40" s="57"/>
      <c r="E40" s="58"/>
    </row>
    <row r="41" spans="1:5" ht="12.6" thickBot="1" x14ac:dyDescent="0.25">
      <c r="A41" s="59"/>
      <c r="B41" s="60"/>
      <c r="C41" s="60"/>
      <c r="D41" s="60"/>
      <c r="E41" s="61"/>
    </row>
    <row r="43" spans="1:5" ht="12.75" customHeight="1" x14ac:dyDescent="0.2"/>
    <row r="44" spans="1:5" ht="12.75" customHeight="1" x14ac:dyDescent="0.2"/>
    <row r="45" spans="1:5" ht="12" customHeight="1" x14ac:dyDescent="0.2"/>
    <row r="47" spans="1:5" ht="15" x14ac:dyDescent="0.25">
      <c r="A47" s="62"/>
      <c r="B47" s="63"/>
      <c r="C47" s="63"/>
      <c r="D47" s="63"/>
    </row>
    <row r="48" spans="1:5" ht="12.75" customHeight="1" x14ac:dyDescent="0.25">
      <c r="A48" s="62"/>
      <c r="B48" s="63"/>
      <c r="C48" s="63"/>
      <c r="D48" s="63"/>
    </row>
    <row r="49" spans="1:5" ht="13.2" x14ac:dyDescent="0.25">
      <c r="A49" s="64"/>
      <c r="B49" s="65"/>
      <c r="C49" s="66"/>
      <c r="D49" s="65"/>
      <c r="E49" s="65"/>
    </row>
    <row r="50" spans="1:5" ht="13.2" x14ac:dyDescent="0.25">
      <c r="A50" s="63"/>
      <c r="B50" s="63"/>
      <c r="C50" s="63"/>
      <c r="D50" s="63"/>
    </row>
    <row r="51" spans="1:5" ht="13.2" x14ac:dyDescent="0.25">
      <c r="A51" s="63"/>
      <c r="B51" s="63"/>
      <c r="C51" s="63"/>
      <c r="D51" s="63"/>
    </row>
    <row r="52" spans="1:5" ht="13.2" x14ac:dyDescent="0.25">
      <c r="A52" s="63"/>
      <c r="B52" s="63"/>
      <c r="C52" s="63"/>
      <c r="D52" s="63"/>
    </row>
    <row r="53" spans="1:5" ht="13.2" x14ac:dyDescent="0.25">
      <c r="A53" s="63"/>
      <c r="B53" s="63"/>
      <c r="C53" s="63"/>
      <c r="D53" s="63"/>
    </row>
    <row r="54" spans="1:5" ht="13.2" x14ac:dyDescent="0.25">
      <c r="A54" s="63"/>
      <c r="B54" s="63"/>
      <c r="C54" s="63"/>
      <c r="D54" s="63"/>
    </row>
    <row r="55" spans="1:5" ht="15" x14ac:dyDescent="0.25">
      <c r="A55" s="62"/>
      <c r="B55" s="63"/>
      <c r="C55" s="63"/>
      <c r="D55" s="63"/>
    </row>
    <row r="56" spans="1:5" ht="15" x14ac:dyDescent="0.25">
      <c r="A56" s="62"/>
      <c r="B56" s="63"/>
      <c r="C56" s="63"/>
      <c r="D56" s="63"/>
    </row>
    <row r="57" spans="1:5" ht="13.2" x14ac:dyDescent="0.25">
      <c r="A57" s="63"/>
      <c r="B57" s="63"/>
      <c r="C57" s="63"/>
      <c r="D57" s="63"/>
      <c r="E57" s="63"/>
    </row>
    <row r="58" spans="1:5" ht="13.2" x14ac:dyDescent="0.25">
      <c r="A58" s="63"/>
      <c r="B58" s="63"/>
      <c r="C58" s="63"/>
      <c r="D58" s="63"/>
      <c r="E58" s="63"/>
    </row>
    <row r="59" spans="1:5" ht="13.2" x14ac:dyDescent="0.25">
      <c r="A59" s="63"/>
      <c r="B59" s="63"/>
      <c r="C59" s="63"/>
      <c r="D59" s="63"/>
      <c r="E59" s="63"/>
    </row>
    <row r="60" spans="1:5" ht="13.2" x14ac:dyDescent="0.25">
      <c r="A60" s="63"/>
      <c r="B60" s="63"/>
      <c r="C60" s="63"/>
      <c r="D60" s="63"/>
      <c r="E60" s="63"/>
    </row>
    <row r="61" spans="1:5" ht="13.2" x14ac:dyDescent="0.25">
      <c r="A61" s="63"/>
      <c r="B61" s="63"/>
      <c r="C61" s="63"/>
      <c r="D61" s="63"/>
      <c r="E61" s="63"/>
    </row>
    <row r="62" spans="1:5" ht="13.2" x14ac:dyDescent="0.25">
      <c r="A62" s="63"/>
      <c r="B62" s="63"/>
      <c r="C62" s="63"/>
      <c r="D62" s="63"/>
      <c r="E62" s="63"/>
    </row>
    <row r="63" spans="1:5" ht="13.2" x14ac:dyDescent="0.25">
      <c r="A63" s="63"/>
      <c r="B63" s="63"/>
      <c r="C63" s="63"/>
      <c r="D63" s="63"/>
      <c r="E63" s="63"/>
    </row>
    <row r="64" spans="1:5" ht="13.2" x14ac:dyDescent="0.25">
      <c r="A64" s="63"/>
      <c r="B64" s="63"/>
      <c r="C64" s="63"/>
      <c r="D64" s="63"/>
      <c r="E64" s="63"/>
    </row>
    <row r="65" spans="1:5" ht="13.2" x14ac:dyDescent="0.25">
      <c r="A65" s="63"/>
      <c r="B65" s="63"/>
      <c r="C65" s="63"/>
      <c r="D65" s="63"/>
      <c r="E65" s="63"/>
    </row>
    <row r="66" spans="1:5" ht="13.2" x14ac:dyDescent="0.25">
      <c r="A66" s="63"/>
      <c r="B66" s="63"/>
      <c r="C66" s="63"/>
      <c r="D66" s="63"/>
      <c r="E66" s="63"/>
    </row>
    <row r="67" spans="1:5" ht="13.2" x14ac:dyDescent="0.25">
      <c r="A67" s="63"/>
      <c r="B67" s="63"/>
      <c r="C67" s="63"/>
      <c r="D67" s="63"/>
      <c r="E67" s="63"/>
    </row>
    <row r="68" spans="1:5" ht="13.2" x14ac:dyDescent="0.25">
      <c r="A68" s="63"/>
      <c r="B68" s="63"/>
      <c r="C68" s="63"/>
      <c r="D68" s="63"/>
      <c r="E68" s="63"/>
    </row>
    <row r="69" spans="1:5" ht="13.2" x14ac:dyDescent="0.25">
      <c r="A69" s="63"/>
      <c r="B69" s="63"/>
      <c r="C69" s="63"/>
      <c r="D69" s="63"/>
      <c r="E69" s="63"/>
    </row>
    <row r="70" spans="1:5" ht="13.2" x14ac:dyDescent="0.25">
      <c r="A70" s="63"/>
      <c r="B70" s="63"/>
      <c r="C70" s="63"/>
      <c r="D70" s="63"/>
      <c r="E70" s="63"/>
    </row>
  </sheetData>
  <mergeCells count="20">
    <mergeCell ref="A29:D29"/>
    <mergeCell ref="B2:C2"/>
    <mergeCell ref="B3:E3"/>
    <mergeCell ref="B4:E4"/>
    <mergeCell ref="A5:A6"/>
    <mergeCell ref="B5:E6"/>
    <mergeCell ref="A8:E8"/>
    <mergeCell ref="A9:E15"/>
    <mergeCell ref="D17:E24"/>
    <mergeCell ref="A26:D26"/>
    <mergeCell ref="A27:D27"/>
    <mergeCell ref="A28:D28"/>
    <mergeCell ref="A37:B37"/>
    <mergeCell ref="C37:D37"/>
    <mergeCell ref="A32:D32"/>
    <mergeCell ref="A33:D33"/>
    <mergeCell ref="A34:D34"/>
    <mergeCell ref="A35:D35"/>
    <mergeCell ref="A36:B36"/>
    <mergeCell ref="C36:D36"/>
  </mergeCells>
  <dataValidations count="1">
    <dataValidation type="list" allowBlank="1" showInputMessage="1" showErrorMessage="1" sqref="D2:E2">
      <formula1>"R4-Cycle 1,R4-Cycle 2,R4-Cycle 3,R4-Cycle 4,R4-Regression Test,R4-Business Simulation"</formula1>
    </dataValidation>
  </dataValidations>
  <pageMargins left="0.75" right="0.75" top="1" bottom="1" header="0.5" footer="0.5"/>
  <pageSetup scale="6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summaryRight="0"/>
    <pageSetUpPr fitToPage="1"/>
  </sheetPr>
  <dimension ref="A1:P15"/>
  <sheetViews>
    <sheetView tabSelected="1" topLeftCell="B1" zoomScale="70" zoomScaleNormal="70" workbookViewId="0">
      <pane xSplit="5" ySplit="2" topLeftCell="G8" activePane="bottomRight" state="frozen"/>
      <selection pane="topRight"/>
      <selection pane="bottomLeft"/>
      <selection pane="bottomRight" activeCell="F20" sqref="F20"/>
    </sheetView>
  </sheetViews>
  <sheetFormatPr defaultColWidth="35.6640625" defaultRowHeight="18" x14ac:dyDescent="0.25"/>
  <cols>
    <col min="1" max="1" width="10.33203125" style="84" customWidth="1"/>
    <col min="2" max="2" width="18.6640625" style="84" customWidth="1"/>
    <col min="3" max="3" width="10.33203125" style="72" customWidth="1"/>
    <col min="4" max="4" width="15.6640625" style="72" bestFit="1" customWidth="1"/>
    <col min="5" max="5" width="14" style="84" customWidth="1"/>
    <col min="6" max="6" width="80.44140625" style="85" customWidth="1"/>
    <col min="7" max="7" width="62.44140625" style="72" customWidth="1"/>
    <col min="8" max="8" width="46.44140625" style="72" customWidth="1"/>
    <col min="9" max="9" width="15.88671875" style="72" customWidth="1"/>
    <col min="10" max="10" width="41.33203125" style="72" customWidth="1"/>
    <col min="11" max="11" width="18.88671875" style="84" customWidth="1"/>
    <col min="12" max="12" width="18.6640625" style="72" customWidth="1"/>
    <col min="13" max="13" width="17.44140625" style="72" customWidth="1"/>
    <col min="14" max="14" width="16.44140625" style="85" customWidth="1"/>
    <col min="15" max="15" width="13.33203125" style="85" customWidth="1"/>
    <col min="16" max="16" width="37.109375" style="72" bestFit="1" customWidth="1"/>
    <col min="17" max="17" width="9.109375" style="72"/>
    <col min="18" max="16384" width="35.6640625" style="72"/>
  </cols>
  <sheetData>
    <row r="1" spans="1:16" x14ac:dyDescent="0.25">
      <c r="A1" s="118" t="s">
        <v>24</v>
      </c>
      <c r="B1" s="71"/>
      <c r="C1" s="118" t="s">
        <v>25</v>
      </c>
      <c r="D1" s="71"/>
      <c r="E1" s="118" t="s">
        <v>26</v>
      </c>
      <c r="F1" s="118" t="s">
        <v>27</v>
      </c>
      <c r="G1" s="118" t="s">
        <v>28</v>
      </c>
      <c r="H1" s="118" t="s">
        <v>29</v>
      </c>
      <c r="I1" s="119" t="s">
        <v>30</v>
      </c>
      <c r="J1" s="118" t="s">
        <v>31</v>
      </c>
      <c r="K1" s="71" t="s">
        <v>32</v>
      </c>
      <c r="L1" s="118" t="s">
        <v>33</v>
      </c>
      <c r="M1" s="118" t="s">
        <v>34</v>
      </c>
      <c r="N1" s="118" t="s">
        <v>35</v>
      </c>
      <c r="O1" s="120" t="s">
        <v>36</v>
      </c>
      <c r="P1" s="118" t="s">
        <v>13</v>
      </c>
    </row>
    <row r="2" spans="1:16" x14ac:dyDescent="0.25">
      <c r="A2" s="118"/>
      <c r="B2" s="71"/>
      <c r="C2" s="118"/>
      <c r="D2" s="73"/>
      <c r="E2" s="118"/>
      <c r="F2" s="118"/>
      <c r="G2" s="118"/>
      <c r="H2" s="118"/>
      <c r="I2" s="119"/>
      <c r="J2" s="118"/>
      <c r="K2" s="73" t="s">
        <v>37</v>
      </c>
      <c r="L2" s="118"/>
      <c r="M2" s="118"/>
      <c r="N2" s="118"/>
      <c r="O2" s="120"/>
      <c r="P2" s="118"/>
    </row>
    <row r="3" spans="1:16" x14ac:dyDescent="0.25">
      <c r="A3" s="74"/>
      <c r="B3" s="74" t="s">
        <v>38</v>
      </c>
      <c r="C3" s="74"/>
      <c r="D3" s="74" t="s">
        <v>39</v>
      </c>
      <c r="E3" s="74"/>
      <c r="F3" s="75"/>
      <c r="G3" s="76"/>
      <c r="H3" s="76"/>
      <c r="I3" s="76"/>
      <c r="J3" s="74"/>
      <c r="K3" s="74"/>
      <c r="L3" s="74"/>
      <c r="M3" s="74"/>
      <c r="N3" s="77"/>
      <c r="O3" s="77"/>
      <c r="P3" s="74"/>
    </row>
    <row r="4" spans="1:16" s="81" customFormat="1" ht="36" x14ac:dyDescent="0.25">
      <c r="A4" s="70" t="s">
        <v>40</v>
      </c>
      <c r="B4" s="70" t="s">
        <v>3</v>
      </c>
      <c r="C4" s="70">
        <f t="shared" ref="C4:C9" si="0">ROW(A4)-3</f>
        <v>1</v>
      </c>
      <c r="D4" s="70" t="s">
        <v>41</v>
      </c>
      <c r="E4" s="70" t="s">
        <v>42</v>
      </c>
      <c r="F4" s="70" t="s">
        <v>72</v>
      </c>
      <c r="G4" s="78" t="s">
        <v>77</v>
      </c>
      <c r="H4" s="79" t="s">
        <v>73</v>
      </c>
      <c r="I4" s="80" t="b">
        <v>1</v>
      </c>
      <c r="J4" s="70"/>
      <c r="K4" s="70"/>
      <c r="L4" s="70"/>
      <c r="M4" s="70"/>
      <c r="N4" s="70"/>
      <c r="O4" s="70"/>
      <c r="P4" s="70"/>
    </row>
    <row r="5" spans="1:16" s="81" customFormat="1" x14ac:dyDescent="0.25">
      <c r="A5" s="70"/>
      <c r="B5" s="70"/>
      <c r="C5" s="70">
        <f t="shared" si="0"/>
        <v>2</v>
      </c>
      <c r="D5" s="70" t="s">
        <v>43</v>
      </c>
      <c r="E5" s="70" t="s">
        <v>42</v>
      </c>
      <c r="F5" s="87" t="s">
        <v>74</v>
      </c>
      <c r="G5" s="78"/>
      <c r="H5" s="70" t="s">
        <v>80</v>
      </c>
      <c r="I5" s="80" t="b">
        <v>1</v>
      </c>
      <c r="J5" s="70"/>
      <c r="K5" s="70"/>
      <c r="L5" s="70"/>
      <c r="M5" s="70"/>
      <c r="N5" s="70"/>
      <c r="O5" s="70"/>
      <c r="P5" s="70"/>
    </row>
    <row r="6" spans="1:16" s="81" customFormat="1" ht="108" x14ac:dyDescent="0.25">
      <c r="A6" s="70"/>
      <c r="B6" s="70"/>
      <c r="C6" s="70">
        <f t="shared" si="0"/>
        <v>3</v>
      </c>
      <c r="D6" s="70" t="s">
        <v>43</v>
      </c>
      <c r="E6" s="70" t="s">
        <v>42</v>
      </c>
      <c r="F6" s="70" t="s">
        <v>75</v>
      </c>
      <c r="G6" s="78" t="s">
        <v>78</v>
      </c>
      <c r="H6" s="70" t="s">
        <v>79</v>
      </c>
      <c r="I6" s="80" t="b">
        <v>1</v>
      </c>
      <c r="J6" s="70"/>
      <c r="K6" s="70"/>
      <c r="L6" s="70"/>
      <c r="M6" s="70"/>
      <c r="N6" s="70"/>
      <c r="O6" s="70"/>
      <c r="P6" s="70"/>
    </row>
    <row r="7" spans="1:16" s="81" customFormat="1" ht="54" x14ac:dyDescent="0.25">
      <c r="A7" s="70"/>
      <c r="B7" s="70"/>
      <c r="C7" s="70">
        <f t="shared" si="0"/>
        <v>4</v>
      </c>
      <c r="D7" s="70" t="s">
        <v>43</v>
      </c>
      <c r="E7" s="70" t="s">
        <v>42</v>
      </c>
      <c r="F7" s="70" t="s">
        <v>76</v>
      </c>
      <c r="G7" s="78"/>
      <c r="H7" s="70" t="s">
        <v>81</v>
      </c>
      <c r="I7" s="80" t="b">
        <v>1</v>
      </c>
      <c r="J7" s="70"/>
      <c r="K7" s="70"/>
      <c r="L7" s="70"/>
      <c r="M7" s="70"/>
      <c r="N7" s="70"/>
      <c r="O7" s="70"/>
      <c r="P7" s="70"/>
    </row>
    <row r="8" spans="1:16" s="81" customFormat="1" ht="90" x14ac:dyDescent="0.25">
      <c r="A8" s="70"/>
      <c r="B8" s="70"/>
      <c r="C8" s="70">
        <f t="shared" si="0"/>
        <v>5</v>
      </c>
      <c r="D8" s="70" t="s">
        <v>43</v>
      </c>
      <c r="E8" s="70" t="s">
        <v>42</v>
      </c>
      <c r="F8" s="70" t="s">
        <v>82</v>
      </c>
      <c r="G8" s="88" t="s">
        <v>83</v>
      </c>
      <c r="H8" s="70" t="s">
        <v>44</v>
      </c>
      <c r="I8" s="80" t="b">
        <v>1</v>
      </c>
      <c r="J8" s="70"/>
      <c r="K8" s="70"/>
      <c r="L8" s="70"/>
      <c r="M8" s="70"/>
      <c r="N8" s="70"/>
      <c r="O8" s="70"/>
      <c r="P8" s="70"/>
    </row>
    <row r="9" spans="1:16" s="81" customFormat="1" ht="72" x14ac:dyDescent="0.25">
      <c r="A9" s="70"/>
      <c r="B9" s="70"/>
      <c r="C9" s="70">
        <f t="shared" si="0"/>
        <v>6</v>
      </c>
      <c r="D9" s="70" t="s">
        <v>43</v>
      </c>
      <c r="E9" s="70" t="s">
        <v>42</v>
      </c>
      <c r="F9" s="89" t="s">
        <v>86</v>
      </c>
      <c r="G9" s="86" t="s">
        <v>45</v>
      </c>
      <c r="H9" s="88" t="s">
        <v>69</v>
      </c>
      <c r="I9" s="80" t="b">
        <v>1</v>
      </c>
      <c r="J9" s="70"/>
      <c r="K9" s="70"/>
      <c r="L9" s="70"/>
      <c r="M9" s="70"/>
      <c r="N9" s="70"/>
      <c r="O9" s="70"/>
      <c r="P9" s="70"/>
    </row>
    <row r="10" spans="1:16" s="81" customFormat="1" ht="54" x14ac:dyDescent="0.25">
      <c r="A10" s="70"/>
      <c r="B10" s="70"/>
      <c r="C10" s="70">
        <f t="shared" ref="C10:C15" si="1">ROW(A10)-3</f>
        <v>7</v>
      </c>
      <c r="D10" s="70" t="s">
        <v>46</v>
      </c>
      <c r="E10" s="70" t="s">
        <v>42</v>
      </c>
      <c r="F10" s="89" t="s">
        <v>70</v>
      </c>
      <c r="G10" s="78"/>
      <c r="H10" s="88" t="s">
        <v>71</v>
      </c>
      <c r="I10" s="80" t="b">
        <v>1</v>
      </c>
      <c r="J10" s="70"/>
      <c r="K10" s="70"/>
      <c r="L10" s="70"/>
      <c r="M10" s="70"/>
      <c r="N10" s="70"/>
      <c r="O10" s="70"/>
      <c r="P10" s="70"/>
    </row>
    <row r="11" spans="1:16" s="81" customFormat="1" ht="36" x14ac:dyDescent="0.25">
      <c r="A11" s="70"/>
      <c r="B11" s="70"/>
      <c r="C11" s="70">
        <f t="shared" si="1"/>
        <v>8</v>
      </c>
      <c r="D11" s="70" t="s">
        <v>46</v>
      </c>
      <c r="E11" s="70" t="s">
        <v>42</v>
      </c>
      <c r="F11" s="91" t="s">
        <v>87</v>
      </c>
      <c r="G11" s="88"/>
      <c r="H11" s="70" t="s">
        <v>49</v>
      </c>
      <c r="I11" s="80" t="b">
        <v>1</v>
      </c>
      <c r="J11" s="70" t="s">
        <v>47</v>
      </c>
      <c r="K11" s="70"/>
      <c r="L11" s="70"/>
      <c r="M11" s="70"/>
      <c r="N11" s="70"/>
      <c r="O11" s="70"/>
      <c r="P11" s="70"/>
    </row>
    <row r="12" spans="1:16" s="81" customFormat="1" ht="36" x14ac:dyDescent="0.25">
      <c r="A12" s="70"/>
      <c r="B12" s="70"/>
      <c r="C12" s="70">
        <f t="shared" si="1"/>
        <v>9</v>
      </c>
      <c r="D12" s="70" t="s">
        <v>48</v>
      </c>
      <c r="E12" s="70" t="s">
        <v>42</v>
      </c>
      <c r="F12" s="88" t="s">
        <v>88</v>
      </c>
      <c r="G12" s="90"/>
      <c r="H12" s="70" t="s">
        <v>49</v>
      </c>
      <c r="I12" s="80"/>
      <c r="J12" s="70"/>
      <c r="K12" s="70"/>
      <c r="L12" s="70"/>
      <c r="M12" s="70"/>
      <c r="N12" s="70"/>
      <c r="O12" s="70"/>
      <c r="P12" s="70"/>
    </row>
    <row r="13" spans="1:16" s="81" customFormat="1" x14ac:dyDescent="0.25">
      <c r="A13" s="70"/>
      <c r="B13" s="70"/>
      <c r="C13" s="70"/>
      <c r="D13" s="70"/>
      <c r="E13" s="70"/>
      <c r="F13" s="88" t="s">
        <v>89</v>
      </c>
      <c r="G13" s="90"/>
      <c r="H13" s="88" t="s">
        <v>90</v>
      </c>
      <c r="I13" s="80"/>
      <c r="J13" s="70"/>
      <c r="K13" s="70"/>
      <c r="L13" s="70"/>
      <c r="M13" s="70"/>
      <c r="N13" s="70"/>
      <c r="O13" s="70"/>
      <c r="P13" s="70"/>
    </row>
    <row r="14" spans="1:16" s="81" customFormat="1" ht="36" x14ac:dyDescent="0.35">
      <c r="A14" s="70"/>
      <c r="B14" s="70"/>
      <c r="C14" s="70">
        <f t="shared" si="1"/>
        <v>11</v>
      </c>
      <c r="D14" s="70" t="s">
        <v>48</v>
      </c>
      <c r="E14" s="70" t="s">
        <v>42</v>
      </c>
      <c r="F14" s="121" t="s">
        <v>84</v>
      </c>
      <c r="G14" s="90"/>
      <c r="H14" s="83" t="s">
        <v>50</v>
      </c>
      <c r="I14" s="80"/>
      <c r="J14" s="70"/>
      <c r="K14" s="70"/>
      <c r="L14" s="70"/>
      <c r="M14" s="70"/>
      <c r="N14" s="70"/>
      <c r="O14" s="70"/>
      <c r="P14" s="70"/>
    </row>
    <row r="15" spans="1:16" s="81" customFormat="1" ht="54" x14ac:dyDescent="0.35">
      <c r="A15" s="70"/>
      <c r="B15" s="70"/>
      <c r="C15" s="70">
        <f t="shared" si="1"/>
        <v>12</v>
      </c>
      <c r="D15" s="70" t="s">
        <v>48</v>
      </c>
      <c r="E15" s="70" t="s">
        <v>42</v>
      </c>
      <c r="F15" s="121" t="s">
        <v>85</v>
      </c>
      <c r="G15" s="89"/>
      <c r="H15" s="82" t="s">
        <v>51</v>
      </c>
      <c r="I15" s="80" t="b">
        <v>1</v>
      </c>
      <c r="J15" s="70"/>
      <c r="K15" s="70"/>
      <c r="L15" s="70"/>
      <c r="M15" s="70"/>
      <c r="N15" s="70"/>
      <c r="O15" s="70"/>
      <c r="P15" s="70"/>
    </row>
  </sheetData>
  <mergeCells count="13">
    <mergeCell ref="P1:P2"/>
    <mergeCell ref="J1:J2"/>
    <mergeCell ref="L1:L2"/>
    <mergeCell ref="A1:A2"/>
    <mergeCell ref="F1:F2"/>
    <mergeCell ref="G1:G2"/>
    <mergeCell ref="C1:C2"/>
    <mergeCell ref="E1:E2"/>
    <mergeCell ref="H1:H2"/>
    <mergeCell ref="I1:I2"/>
    <mergeCell ref="M1:M2"/>
    <mergeCell ref="N1:N2"/>
    <mergeCell ref="O1:O2"/>
  </mergeCells>
  <dataValidations count="3">
    <dataValidation type="list" allowBlank="1" showInputMessage="1" showErrorMessage="1" sqref="N4:N15">
      <formula1>"10 - Not Started,20 - In-Process,30 - TPR Hold,40 - DEV Hold,50 - Pass,60 - N/A"</formula1>
    </dataValidation>
    <dataValidation type="list" allowBlank="1" showInputMessage="1" showErrorMessage="1" sqref="K4:K15">
      <formula1>"Y,N"</formula1>
    </dataValidation>
    <dataValidation type="list" allowBlank="1" showInputMessage="1" showErrorMessage="1" sqref="E4:E15">
      <formula1>"AP,Buyer,PO Approv,Inv Approv,Watcher,SAP Tech Team,Prem Tech,Prem Funct"</formula1>
    </dataValidation>
  </dataValidations>
  <pageMargins left="0.45" right="0.45" top="0.75" bottom="0.75" header="0.3" footer="0.3"/>
  <pageSetup scale="61" fitToHeight="1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44140625" defaultRowHeight="13.2"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46"/>
  <sheetViews>
    <sheetView showGridLines="0" workbookViewId="0">
      <selection activeCell="A10" sqref="A10"/>
    </sheetView>
  </sheetViews>
  <sheetFormatPr defaultColWidth="9.109375" defaultRowHeight="17.25" customHeight="1" x14ac:dyDescent="0.2"/>
  <cols>
    <col min="1" max="1" width="14.88671875" style="2" customWidth="1"/>
    <col min="2" max="2" width="8.44140625" style="2" customWidth="1"/>
    <col min="3" max="7" width="14.33203125" style="2" customWidth="1"/>
    <col min="8" max="9" width="14.33203125" style="1" customWidth="1"/>
    <col min="10" max="11" width="11.6640625" style="1" customWidth="1"/>
    <col min="12" max="17" width="14.33203125" style="1" bestFit="1" customWidth="1"/>
    <col min="18" max="18" width="11.6640625" style="1" bestFit="1" customWidth="1"/>
    <col min="19" max="16384" width="9.109375" style="1"/>
  </cols>
  <sheetData>
    <row r="2" spans="1:18" ht="17.25" customHeight="1" thickBot="1" x14ac:dyDescent="0.25"/>
    <row r="3" spans="1:18" ht="13.8" thickBot="1" x14ac:dyDescent="0.3">
      <c r="A3" s="15" t="s">
        <v>52</v>
      </c>
      <c r="B3" s="16"/>
      <c r="C3" s="19" t="s">
        <v>35</v>
      </c>
      <c r="D3" s="20"/>
      <c r="E3" s="20"/>
      <c r="F3" s="20"/>
      <c r="G3" s="20"/>
      <c r="H3" s="20"/>
      <c r="I3" s="20"/>
      <c r="J3" s="21"/>
      <c r="K3"/>
      <c r="L3"/>
      <c r="M3"/>
      <c r="N3"/>
      <c r="O3"/>
      <c r="P3"/>
      <c r="Q3"/>
      <c r="R3"/>
    </row>
    <row r="4" spans="1:18" ht="13.8" thickBot="1" x14ac:dyDescent="0.3">
      <c r="A4" s="17" t="s">
        <v>24</v>
      </c>
      <c r="B4" s="18" t="s">
        <v>26</v>
      </c>
      <c r="C4" s="32" t="s">
        <v>53</v>
      </c>
      <c r="D4" s="22" t="s">
        <v>54</v>
      </c>
      <c r="E4" s="22" t="s">
        <v>55</v>
      </c>
      <c r="F4" s="22" t="s">
        <v>56</v>
      </c>
      <c r="G4" s="22" t="s">
        <v>57</v>
      </c>
      <c r="H4" s="22" t="s">
        <v>58</v>
      </c>
      <c r="I4" s="33" t="s">
        <v>59</v>
      </c>
      <c r="J4" s="23" t="s">
        <v>60</v>
      </c>
      <c r="K4"/>
      <c r="L4"/>
      <c r="M4"/>
      <c r="N4"/>
      <c r="O4"/>
      <c r="P4"/>
      <c r="Q4"/>
      <c r="R4"/>
    </row>
    <row r="5" spans="1:18" ht="13.2" x14ac:dyDescent="0.25">
      <c r="A5" s="12" t="s">
        <v>61</v>
      </c>
      <c r="B5" s="5" t="s">
        <v>62</v>
      </c>
      <c r="C5" s="3"/>
      <c r="D5" s="4">
        <v>1</v>
      </c>
      <c r="E5" s="4"/>
      <c r="F5" s="4"/>
      <c r="G5" s="4"/>
      <c r="H5" s="4"/>
      <c r="I5" s="4"/>
      <c r="J5" s="6">
        <v>1</v>
      </c>
      <c r="K5"/>
      <c r="L5"/>
      <c r="M5"/>
      <c r="N5"/>
      <c r="O5"/>
      <c r="P5"/>
      <c r="Q5"/>
      <c r="R5"/>
    </row>
    <row r="6" spans="1:18" ht="13.2" x14ac:dyDescent="0.25">
      <c r="A6" s="26"/>
      <c r="B6" s="25" t="s">
        <v>63</v>
      </c>
      <c r="C6" s="24"/>
      <c r="D6" s="27">
        <v>1</v>
      </c>
      <c r="E6" s="27"/>
      <c r="F6" s="27"/>
      <c r="G6" s="27"/>
      <c r="H6" s="27">
        <v>8</v>
      </c>
      <c r="I6" s="27">
        <v>2</v>
      </c>
      <c r="J6" s="28">
        <v>11</v>
      </c>
      <c r="K6"/>
      <c r="L6"/>
      <c r="M6"/>
      <c r="N6"/>
      <c r="O6"/>
      <c r="P6"/>
      <c r="Q6"/>
      <c r="R6"/>
    </row>
    <row r="7" spans="1:18" ht="13.2" x14ac:dyDescent="0.25">
      <c r="A7" s="26"/>
      <c r="B7" s="25" t="s">
        <v>64</v>
      </c>
      <c r="C7" s="24"/>
      <c r="D7" s="27"/>
      <c r="E7" s="27"/>
      <c r="F7" s="27"/>
      <c r="G7" s="27"/>
      <c r="H7" s="27">
        <v>25</v>
      </c>
      <c r="I7" s="27"/>
      <c r="J7" s="28">
        <v>25</v>
      </c>
      <c r="K7"/>
      <c r="L7"/>
      <c r="M7"/>
      <c r="N7"/>
      <c r="O7"/>
      <c r="P7"/>
      <c r="Q7"/>
      <c r="R7"/>
    </row>
    <row r="8" spans="1:18" ht="13.8" thickBot="1" x14ac:dyDescent="0.3">
      <c r="A8" s="29"/>
      <c r="B8" s="30" t="s">
        <v>65</v>
      </c>
      <c r="C8" s="24"/>
      <c r="D8" s="27"/>
      <c r="E8" s="27"/>
      <c r="F8" s="27"/>
      <c r="G8" s="27"/>
      <c r="H8" s="27">
        <v>5</v>
      </c>
      <c r="I8" s="27">
        <v>4</v>
      </c>
      <c r="J8" s="28">
        <v>9</v>
      </c>
      <c r="K8"/>
      <c r="L8"/>
      <c r="M8"/>
      <c r="N8"/>
      <c r="O8"/>
      <c r="P8"/>
      <c r="Q8"/>
      <c r="R8"/>
    </row>
    <row r="9" spans="1:18" ht="17.25" customHeight="1" thickBot="1" x14ac:dyDescent="0.3">
      <c r="A9" s="13" t="s">
        <v>66</v>
      </c>
      <c r="B9" s="14"/>
      <c r="C9" s="9"/>
      <c r="D9" s="10">
        <v>2</v>
      </c>
      <c r="E9" s="10"/>
      <c r="F9" s="10"/>
      <c r="G9" s="10"/>
      <c r="H9" s="10">
        <v>38</v>
      </c>
      <c r="I9" s="10">
        <v>6</v>
      </c>
      <c r="J9" s="11">
        <v>46</v>
      </c>
      <c r="K9"/>
      <c r="L9"/>
      <c r="M9"/>
      <c r="N9"/>
      <c r="O9"/>
      <c r="P9"/>
      <c r="Q9"/>
      <c r="R9"/>
    </row>
    <row r="10" spans="1:18" ht="13.8" thickBot="1" x14ac:dyDescent="0.3">
      <c r="A10" s="13" t="s">
        <v>67</v>
      </c>
      <c r="B10" s="18" t="s">
        <v>64</v>
      </c>
      <c r="C10" s="9"/>
      <c r="D10" s="10">
        <v>1</v>
      </c>
      <c r="E10" s="10">
        <v>1</v>
      </c>
      <c r="F10" s="10">
        <v>1</v>
      </c>
      <c r="G10" s="10">
        <v>1</v>
      </c>
      <c r="H10" s="10">
        <v>1</v>
      </c>
      <c r="I10" s="10">
        <v>1</v>
      </c>
      <c r="J10" s="11">
        <v>6</v>
      </c>
      <c r="K10"/>
      <c r="L10"/>
      <c r="M10"/>
      <c r="N10"/>
      <c r="O10"/>
      <c r="P10"/>
      <c r="Q10"/>
      <c r="R10"/>
    </row>
    <row r="11" spans="1:18" ht="17.25" customHeight="1" x14ac:dyDescent="0.25">
      <c r="A11" s="12" t="s">
        <v>68</v>
      </c>
      <c r="B11" s="31"/>
      <c r="C11" s="3"/>
      <c r="D11" s="4">
        <v>1</v>
      </c>
      <c r="E11" s="4">
        <v>1</v>
      </c>
      <c r="F11" s="4">
        <v>1</v>
      </c>
      <c r="G11" s="4">
        <v>1</v>
      </c>
      <c r="H11" s="4">
        <v>1</v>
      </c>
      <c r="I11" s="4">
        <v>1</v>
      </c>
      <c r="J11" s="6">
        <v>6</v>
      </c>
      <c r="K11"/>
      <c r="L11"/>
      <c r="M11"/>
      <c r="N11"/>
      <c r="O11"/>
      <c r="P11"/>
      <c r="Q11"/>
      <c r="R11"/>
    </row>
    <row r="12" spans="1:18" ht="13.8" thickBot="1" x14ac:dyDescent="0.3">
      <c r="A12" s="7" t="s">
        <v>60</v>
      </c>
      <c r="B12" s="8"/>
      <c r="C12" s="9"/>
      <c r="D12" s="10">
        <v>3</v>
      </c>
      <c r="E12" s="10">
        <v>1</v>
      </c>
      <c r="F12" s="10">
        <v>1</v>
      </c>
      <c r="G12" s="10">
        <v>1</v>
      </c>
      <c r="H12" s="10">
        <v>39</v>
      </c>
      <c r="I12" s="10">
        <v>7</v>
      </c>
      <c r="J12" s="11">
        <v>52</v>
      </c>
      <c r="K12"/>
      <c r="L12"/>
      <c r="M12"/>
      <c r="N12"/>
      <c r="O12"/>
      <c r="P12"/>
      <c r="Q12"/>
      <c r="R12"/>
    </row>
    <row r="13" spans="1:18" ht="17.25" customHeight="1" x14ac:dyDescent="0.25">
      <c r="A13"/>
      <c r="B13"/>
      <c r="C13"/>
      <c r="D13"/>
      <c r="E13"/>
      <c r="F13"/>
      <c r="G13"/>
      <c r="H13"/>
      <c r="I13"/>
      <c r="J13"/>
      <c r="K13"/>
      <c r="L13"/>
      <c r="M13"/>
      <c r="N13"/>
      <c r="O13"/>
      <c r="P13"/>
      <c r="Q13"/>
      <c r="R13"/>
    </row>
    <row r="14" spans="1:18" ht="17.25" customHeight="1" x14ac:dyDescent="0.25">
      <c r="A14"/>
      <c r="B14"/>
      <c r="C14"/>
      <c r="D14"/>
      <c r="E14"/>
      <c r="F14"/>
      <c r="G14"/>
      <c r="H14"/>
      <c r="I14"/>
      <c r="J14"/>
      <c r="K14"/>
      <c r="L14"/>
      <c r="M14"/>
      <c r="N14"/>
      <c r="O14"/>
      <c r="P14"/>
      <c r="Q14"/>
      <c r="R14"/>
    </row>
    <row r="15" spans="1:18" ht="17.25" customHeight="1" x14ac:dyDescent="0.25">
      <c r="A15"/>
      <c r="B15"/>
      <c r="C15"/>
      <c r="D15"/>
      <c r="E15"/>
      <c r="F15"/>
      <c r="G15"/>
      <c r="H15"/>
      <c r="I15"/>
      <c r="J15"/>
      <c r="K15"/>
      <c r="L15"/>
      <c r="M15"/>
      <c r="N15"/>
      <c r="O15"/>
      <c r="P15"/>
      <c r="Q15"/>
      <c r="R15"/>
    </row>
    <row r="16" spans="1:18" ht="17.25" customHeight="1" x14ac:dyDescent="0.25">
      <c r="A16"/>
      <c r="B16"/>
      <c r="C16"/>
      <c r="D16"/>
      <c r="E16"/>
      <c r="F16"/>
      <c r="G16"/>
      <c r="H16"/>
      <c r="I16"/>
      <c r="J16"/>
      <c r="K16"/>
      <c r="L16"/>
      <c r="M16"/>
      <c r="N16"/>
      <c r="O16"/>
      <c r="P16"/>
      <c r="Q16"/>
      <c r="R16"/>
    </row>
    <row r="17" spans="1:18" ht="17.25" customHeight="1" x14ac:dyDescent="0.25">
      <c r="A17"/>
      <c r="B17"/>
      <c r="C17"/>
      <c r="D17"/>
      <c r="E17"/>
      <c r="F17"/>
      <c r="G17"/>
      <c r="H17"/>
      <c r="I17"/>
      <c r="J17"/>
      <c r="K17"/>
      <c r="L17"/>
      <c r="M17"/>
      <c r="N17"/>
      <c r="O17"/>
      <c r="P17"/>
      <c r="Q17"/>
      <c r="R17"/>
    </row>
    <row r="18" spans="1:18" ht="17.25" customHeight="1" x14ac:dyDescent="0.25">
      <c r="A18"/>
      <c r="B18"/>
      <c r="C18"/>
      <c r="D18"/>
      <c r="E18"/>
      <c r="F18"/>
      <c r="G18"/>
      <c r="H18"/>
      <c r="I18"/>
      <c r="J18"/>
      <c r="K18"/>
      <c r="L18"/>
      <c r="M18"/>
      <c r="N18"/>
      <c r="O18"/>
      <c r="P18"/>
      <c r="Q18"/>
      <c r="R18"/>
    </row>
    <row r="19" spans="1:18" ht="17.25" customHeight="1" x14ac:dyDescent="0.25">
      <c r="A19"/>
      <c r="B19"/>
      <c r="C19"/>
      <c r="D19"/>
      <c r="E19"/>
      <c r="F19"/>
      <c r="G19"/>
      <c r="H19"/>
      <c r="I19"/>
      <c r="J19"/>
      <c r="K19"/>
      <c r="L19"/>
      <c r="M19"/>
      <c r="N19"/>
      <c r="O19"/>
      <c r="P19"/>
      <c r="Q19"/>
      <c r="R19"/>
    </row>
    <row r="20" spans="1:18" ht="17.25" customHeight="1" x14ac:dyDescent="0.25">
      <c r="A20"/>
      <c r="B20"/>
      <c r="C20"/>
      <c r="D20"/>
      <c r="E20"/>
      <c r="F20"/>
      <c r="G20"/>
      <c r="H20"/>
      <c r="I20"/>
      <c r="J20"/>
      <c r="K20"/>
      <c r="L20"/>
      <c r="M20"/>
      <c r="N20"/>
      <c r="O20"/>
      <c r="P20"/>
      <c r="Q20"/>
      <c r="R20"/>
    </row>
    <row r="21" spans="1:18" ht="17.25" customHeight="1" x14ac:dyDescent="0.25">
      <c r="A21"/>
      <c r="B21"/>
      <c r="C21"/>
      <c r="D21"/>
      <c r="E21"/>
      <c r="F21"/>
      <c r="G21"/>
      <c r="H21"/>
      <c r="I21"/>
      <c r="J21"/>
      <c r="K21"/>
      <c r="L21"/>
      <c r="M21"/>
      <c r="N21"/>
      <c r="O21"/>
      <c r="P21"/>
      <c r="Q21"/>
      <c r="R21"/>
    </row>
    <row r="22" spans="1:18" ht="17.25" customHeight="1" x14ac:dyDescent="0.25">
      <c r="A22"/>
      <c r="B22"/>
      <c r="C22"/>
      <c r="D22"/>
      <c r="E22"/>
      <c r="F22"/>
      <c r="G22"/>
      <c r="H22"/>
      <c r="I22"/>
      <c r="J22"/>
      <c r="K22"/>
      <c r="L22"/>
      <c r="M22"/>
      <c r="N22"/>
      <c r="O22"/>
      <c r="P22"/>
      <c r="Q22"/>
      <c r="R22"/>
    </row>
    <row r="23" spans="1:18" ht="17.25" customHeight="1" x14ac:dyDescent="0.25">
      <c r="A23"/>
      <c r="B23"/>
      <c r="C23"/>
      <c r="D23"/>
      <c r="E23"/>
      <c r="F23"/>
      <c r="G23"/>
      <c r="H23"/>
      <c r="I23"/>
      <c r="J23"/>
      <c r="K23"/>
      <c r="L23"/>
      <c r="M23"/>
      <c r="N23"/>
      <c r="O23"/>
      <c r="P23"/>
      <c r="Q23"/>
      <c r="R23"/>
    </row>
    <row r="24" spans="1:18" ht="17.25" customHeight="1" x14ac:dyDescent="0.25">
      <c r="A24"/>
      <c r="B24"/>
      <c r="C24"/>
      <c r="D24"/>
      <c r="E24"/>
      <c r="F24"/>
      <c r="G24"/>
      <c r="H24"/>
      <c r="I24"/>
      <c r="J24"/>
      <c r="K24"/>
      <c r="L24"/>
      <c r="M24"/>
      <c r="N24"/>
      <c r="O24"/>
      <c r="P24"/>
      <c r="Q24"/>
      <c r="R24"/>
    </row>
    <row r="25" spans="1:18" ht="17.25" customHeight="1" x14ac:dyDescent="0.25">
      <c r="A25"/>
      <c r="B25"/>
      <c r="C25"/>
      <c r="D25"/>
      <c r="E25"/>
      <c r="F25"/>
      <c r="G25"/>
      <c r="H25"/>
      <c r="I25"/>
      <c r="J25"/>
      <c r="K25"/>
      <c r="L25"/>
      <c r="M25"/>
      <c r="N25"/>
      <c r="O25"/>
      <c r="P25"/>
      <c r="Q25"/>
      <c r="R25"/>
    </row>
    <row r="26" spans="1:18" ht="17.25" customHeight="1" x14ac:dyDescent="0.25">
      <c r="A26"/>
      <c r="B26"/>
      <c r="C26"/>
      <c r="D26"/>
      <c r="E26"/>
      <c r="F26"/>
      <c r="G26"/>
      <c r="H26"/>
      <c r="I26"/>
      <c r="J26"/>
      <c r="K26"/>
      <c r="L26"/>
      <c r="M26"/>
      <c r="N26"/>
      <c r="O26"/>
      <c r="P26"/>
      <c r="Q26"/>
      <c r="R26"/>
    </row>
    <row r="27" spans="1:18" ht="17.25" customHeight="1" x14ac:dyDescent="0.25">
      <c r="A27"/>
      <c r="B27"/>
      <c r="C27"/>
      <c r="D27"/>
      <c r="E27"/>
      <c r="F27"/>
      <c r="G27"/>
      <c r="H27"/>
      <c r="I27"/>
      <c r="J27"/>
      <c r="K27"/>
      <c r="L27"/>
      <c r="M27"/>
      <c r="N27"/>
      <c r="O27"/>
      <c r="P27"/>
      <c r="Q27"/>
      <c r="R27"/>
    </row>
    <row r="28" spans="1:18" ht="17.25" customHeight="1" x14ac:dyDescent="0.25">
      <c r="A28"/>
      <c r="B28"/>
      <c r="C28"/>
      <c r="D28"/>
      <c r="E28"/>
      <c r="F28"/>
      <c r="G28"/>
      <c r="H28"/>
      <c r="I28"/>
      <c r="J28"/>
      <c r="K28"/>
      <c r="L28"/>
      <c r="M28"/>
      <c r="N28"/>
      <c r="O28"/>
      <c r="P28"/>
      <c r="Q28"/>
      <c r="R28"/>
    </row>
    <row r="29" spans="1:18" ht="17.25" customHeight="1" x14ac:dyDescent="0.25">
      <c r="A29"/>
      <c r="B29"/>
      <c r="C29"/>
      <c r="D29"/>
      <c r="E29"/>
      <c r="F29"/>
      <c r="G29"/>
      <c r="H29"/>
      <c r="I29"/>
      <c r="J29"/>
      <c r="K29"/>
      <c r="L29"/>
      <c r="M29"/>
      <c r="N29"/>
      <c r="O29"/>
      <c r="P29"/>
      <c r="Q29"/>
      <c r="R29"/>
    </row>
    <row r="30" spans="1:18" ht="17.25" customHeight="1" x14ac:dyDescent="0.25">
      <c r="A30"/>
      <c r="B30"/>
      <c r="C30"/>
      <c r="D30"/>
      <c r="E30"/>
      <c r="F30"/>
      <c r="G30"/>
      <c r="H30"/>
      <c r="I30"/>
      <c r="J30"/>
      <c r="K30"/>
      <c r="L30"/>
      <c r="M30"/>
      <c r="N30"/>
      <c r="O30"/>
      <c r="P30"/>
      <c r="Q30"/>
      <c r="R30"/>
    </row>
    <row r="31" spans="1:18" ht="17.25" customHeight="1" x14ac:dyDescent="0.25">
      <c r="A31"/>
      <c r="B31"/>
      <c r="C31"/>
      <c r="D31"/>
      <c r="E31"/>
      <c r="F31"/>
      <c r="G31"/>
      <c r="H31"/>
      <c r="I31"/>
      <c r="J31"/>
      <c r="K31"/>
      <c r="L31"/>
      <c r="M31"/>
      <c r="N31"/>
      <c r="O31"/>
      <c r="P31"/>
      <c r="Q31"/>
      <c r="R31"/>
    </row>
    <row r="32" spans="1:18" ht="17.25" customHeight="1" x14ac:dyDescent="0.25">
      <c r="A32"/>
      <c r="B32"/>
      <c r="C32"/>
      <c r="D32"/>
      <c r="E32"/>
      <c r="F32"/>
      <c r="G32"/>
      <c r="H32"/>
      <c r="I32"/>
      <c r="J32"/>
      <c r="K32"/>
      <c r="L32"/>
      <c r="M32"/>
      <c r="N32"/>
      <c r="O32"/>
      <c r="P32"/>
      <c r="Q32"/>
      <c r="R32"/>
    </row>
    <row r="33" spans="1:18" ht="17.25" customHeight="1" x14ac:dyDescent="0.25">
      <c r="A33"/>
      <c r="B33"/>
      <c r="C33"/>
      <c r="D33"/>
      <c r="E33"/>
      <c r="F33"/>
      <c r="G33"/>
      <c r="H33"/>
      <c r="I33"/>
      <c r="J33"/>
      <c r="K33"/>
      <c r="L33"/>
      <c r="M33"/>
      <c r="N33"/>
      <c r="O33"/>
      <c r="P33"/>
      <c r="Q33"/>
      <c r="R33"/>
    </row>
    <row r="34" spans="1:18" ht="17.25" customHeight="1" x14ac:dyDescent="0.25">
      <c r="A34"/>
      <c r="B34"/>
      <c r="C34"/>
      <c r="D34"/>
      <c r="E34"/>
      <c r="F34"/>
      <c r="G34"/>
      <c r="H34"/>
      <c r="I34"/>
      <c r="J34"/>
      <c r="K34"/>
      <c r="L34"/>
      <c r="M34"/>
      <c r="N34"/>
      <c r="O34"/>
      <c r="P34"/>
      <c r="Q34"/>
      <c r="R34"/>
    </row>
    <row r="35" spans="1:18" ht="17.25" customHeight="1" x14ac:dyDescent="0.25">
      <c r="A35"/>
      <c r="B35"/>
      <c r="C35"/>
      <c r="D35"/>
      <c r="E35"/>
      <c r="F35"/>
      <c r="G35"/>
      <c r="H35"/>
      <c r="I35"/>
      <c r="J35"/>
      <c r="K35"/>
      <c r="L35"/>
      <c r="M35"/>
      <c r="N35"/>
      <c r="O35"/>
      <c r="P35"/>
      <c r="Q35"/>
      <c r="R35"/>
    </row>
    <row r="36" spans="1:18" ht="17.25" customHeight="1" x14ac:dyDescent="0.25">
      <c r="A36"/>
      <c r="B36"/>
      <c r="C36"/>
      <c r="D36"/>
      <c r="E36"/>
      <c r="F36"/>
      <c r="G36"/>
      <c r="H36"/>
      <c r="I36"/>
      <c r="J36"/>
      <c r="K36"/>
      <c r="L36"/>
      <c r="M36"/>
      <c r="N36"/>
      <c r="O36"/>
      <c r="P36"/>
      <c r="Q36"/>
      <c r="R36"/>
    </row>
    <row r="37" spans="1:18" ht="17.25" customHeight="1" x14ac:dyDescent="0.25">
      <c r="A37"/>
      <c r="B37"/>
      <c r="C37"/>
      <c r="D37"/>
      <c r="E37"/>
      <c r="F37"/>
      <c r="G37"/>
      <c r="H37"/>
      <c r="I37"/>
      <c r="J37"/>
      <c r="K37"/>
      <c r="L37"/>
      <c r="M37"/>
      <c r="N37"/>
      <c r="O37"/>
      <c r="P37"/>
      <c r="Q37"/>
      <c r="R37"/>
    </row>
    <row r="38" spans="1:18" ht="17.25" customHeight="1" x14ac:dyDescent="0.25">
      <c r="A38"/>
      <c r="B38"/>
      <c r="C38"/>
      <c r="D38"/>
      <c r="E38"/>
      <c r="F38"/>
      <c r="G38"/>
      <c r="H38"/>
      <c r="I38"/>
      <c r="J38"/>
      <c r="K38"/>
      <c r="L38"/>
      <c r="M38"/>
      <c r="N38"/>
      <c r="O38"/>
      <c r="P38"/>
      <c r="Q38"/>
      <c r="R38"/>
    </row>
    <row r="39" spans="1:18" ht="17.25" customHeight="1" x14ac:dyDescent="0.25">
      <c r="A39"/>
      <c r="B39"/>
      <c r="C39"/>
      <c r="D39"/>
      <c r="E39"/>
      <c r="F39"/>
      <c r="G39"/>
      <c r="H39"/>
      <c r="I39"/>
      <c r="J39"/>
      <c r="K39"/>
      <c r="L39"/>
      <c r="M39"/>
      <c r="N39"/>
      <c r="O39"/>
      <c r="P39"/>
      <c r="Q39"/>
      <c r="R39"/>
    </row>
    <row r="40" spans="1:18" ht="17.25" customHeight="1" x14ac:dyDescent="0.25">
      <c r="A40"/>
      <c r="B40"/>
      <c r="C40"/>
      <c r="D40"/>
      <c r="E40"/>
      <c r="F40"/>
      <c r="G40"/>
      <c r="H40"/>
      <c r="I40"/>
      <c r="J40"/>
      <c r="K40"/>
      <c r="L40"/>
      <c r="M40"/>
      <c r="N40"/>
      <c r="O40"/>
      <c r="P40"/>
      <c r="Q40"/>
      <c r="R40"/>
    </row>
    <row r="41" spans="1:18" ht="17.25" customHeight="1" x14ac:dyDescent="0.25">
      <c r="A41"/>
      <c r="B41"/>
      <c r="C41"/>
      <c r="D41"/>
      <c r="E41"/>
      <c r="F41"/>
      <c r="G41"/>
      <c r="H41"/>
      <c r="I41"/>
      <c r="J41"/>
      <c r="K41"/>
      <c r="L41"/>
      <c r="M41"/>
      <c r="N41"/>
      <c r="O41"/>
      <c r="P41"/>
      <c r="Q41"/>
      <c r="R41"/>
    </row>
    <row r="42" spans="1:18" ht="17.25" customHeight="1" x14ac:dyDescent="0.25">
      <c r="A42"/>
      <c r="B42"/>
      <c r="C42"/>
      <c r="D42"/>
      <c r="E42"/>
      <c r="F42"/>
      <c r="G42"/>
      <c r="H42"/>
      <c r="I42"/>
      <c r="J42"/>
      <c r="K42"/>
      <c r="L42"/>
      <c r="M42"/>
      <c r="N42"/>
      <c r="O42"/>
      <c r="P42"/>
      <c r="Q42"/>
      <c r="R42"/>
    </row>
    <row r="43" spans="1:18" ht="17.25" customHeight="1" x14ac:dyDescent="0.25">
      <c r="A43"/>
      <c r="B43"/>
      <c r="C43"/>
      <c r="D43"/>
      <c r="E43"/>
      <c r="F43"/>
      <c r="G43"/>
      <c r="H43"/>
      <c r="I43"/>
      <c r="J43"/>
      <c r="K43"/>
      <c r="L43"/>
      <c r="M43"/>
      <c r="N43"/>
      <c r="O43"/>
      <c r="P43"/>
      <c r="Q43"/>
      <c r="R43"/>
    </row>
    <row r="44" spans="1:18" ht="17.25" customHeight="1" x14ac:dyDescent="0.25">
      <c r="A44"/>
      <c r="B44"/>
      <c r="C44"/>
      <c r="D44"/>
      <c r="E44"/>
      <c r="F44"/>
      <c r="G44"/>
      <c r="H44"/>
      <c r="I44"/>
      <c r="J44"/>
      <c r="K44"/>
      <c r="L44"/>
      <c r="M44"/>
      <c r="N44"/>
      <c r="O44"/>
      <c r="P44"/>
      <c r="Q44"/>
      <c r="R44"/>
    </row>
    <row r="45" spans="1:18" ht="17.25" customHeight="1" x14ac:dyDescent="0.25">
      <c r="A45"/>
      <c r="B45"/>
      <c r="C45"/>
      <c r="D45"/>
      <c r="E45"/>
      <c r="F45"/>
      <c r="G45"/>
      <c r="H45"/>
      <c r="I45"/>
      <c r="J45"/>
      <c r="K45"/>
      <c r="L45"/>
      <c r="M45"/>
      <c r="N45"/>
      <c r="O45"/>
      <c r="P45"/>
      <c r="Q45"/>
      <c r="R45"/>
    </row>
    <row r="46" spans="1:18" ht="17.25" customHeight="1" x14ac:dyDescent="0.25">
      <c r="A46"/>
      <c r="B46"/>
      <c r="C46"/>
      <c r="D46"/>
      <c r="E46"/>
      <c r="F46"/>
      <c r="G46"/>
      <c r="H46"/>
      <c r="I46"/>
      <c r="J46"/>
      <c r="K46"/>
      <c r="L46"/>
      <c r="M46"/>
      <c r="N46"/>
      <c r="O46"/>
      <c r="P46"/>
      <c r="Q46"/>
      <c r="R46"/>
    </row>
  </sheetData>
  <phoneticPr fontId="5" type="noConversion"/>
  <pageMargins left="0.75" right="0.75" top="1" bottom="1" header="0.5" footer="0.5"/>
  <pageSetup orientation="portrait"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203ef26-be28-437c-ae01-5f41441de6d3">
      <UserInfo>
        <DisplayName/>
        <AccountId xsi:nil="true"/>
        <AccountType/>
      </UserInfo>
    </SharedWithUsers>
    <TaxCatchAll xmlns="f203ef26-be28-437c-ae01-5f41441de6d3" xsi:nil="true"/>
    <lcf76f155ced4ddcb4097134ff3c332f xmlns="c0590885-0391-4acc-a1a2-62bdd649afdc">
      <Terms xmlns="http://schemas.microsoft.com/office/infopath/2007/PartnerControls"/>
    </lcf76f155ced4ddcb4097134ff3c332f>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19714232D8671D41B688C3A48C5AE621" ma:contentTypeVersion="17" ma:contentTypeDescription="Create a new document." ma:contentTypeScope="" ma:versionID="d53d216ca0852b3df112c80684e44a04">
  <xsd:schema xmlns:xsd="http://www.w3.org/2001/XMLSchema" xmlns:xs="http://www.w3.org/2001/XMLSchema" xmlns:p="http://schemas.microsoft.com/office/2006/metadata/properties" xmlns:ns2="c0590885-0391-4acc-a1a2-62bdd649afdc" xmlns:ns3="f203ef26-be28-437c-ae01-5f41441de6d3" targetNamespace="http://schemas.microsoft.com/office/2006/metadata/properties" ma:root="true" ma:fieldsID="a994f462a7971573747b1ee30b6f4c90" ns2:_="" ns3:_="">
    <xsd:import namespace="c0590885-0391-4acc-a1a2-62bdd649afdc"/>
    <xsd:import namespace="f203ef26-be28-437c-ae01-5f41441de6d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590885-0391-4acc-a1a2-62bdd649a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cfdae59-7532-4cc8-8ce8-63e07576e7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03ef26-be28-437c-ae01-5f41441de6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f0a4373-ad75-4169-a61b-b6de68ac2aea}" ma:internalName="TaxCatchAll" ma:showField="CatchAllData" ma:web="f203ef26-be28-437c-ae01-5f41441de6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2D16A-6A14-4FCF-9B7F-81D5BCF9F508}">
  <ds:schemaRefs>
    <ds:schemaRef ds:uri="http://schemas.microsoft.com/sharepoint/v3/contenttype/forms"/>
  </ds:schemaRefs>
</ds:datastoreItem>
</file>

<file path=customXml/itemProps2.xml><?xml version="1.0" encoding="utf-8"?>
<ds:datastoreItem xmlns:ds="http://schemas.openxmlformats.org/officeDocument/2006/customXml" ds:itemID="{8E58E092-0497-4CF3-8876-CC340FCDDFD6}">
  <ds:schemaRefs>
    <ds:schemaRef ds:uri="http://schemas.microsoft.com/office/2006/metadata/properties"/>
    <ds:schemaRef ds:uri="http://schemas.microsoft.com/office/infopath/2007/PartnerControls"/>
    <ds:schemaRef ds:uri="f203ef26-be28-437c-ae01-5f41441de6d3"/>
    <ds:schemaRef ds:uri="c0590885-0391-4acc-a1a2-62bdd649afdc"/>
  </ds:schemaRefs>
</ds:datastoreItem>
</file>

<file path=customXml/itemProps3.xml><?xml version="1.0" encoding="utf-8"?>
<ds:datastoreItem xmlns:ds="http://schemas.openxmlformats.org/officeDocument/2006/customXml" ds:itemID="{56BCB5A8-855F-4A49-B3E4-B6B1DAD57931}">
  <ds:schemaRefs>
    <ds:schemaRef ds:uri="http://schemas.microsoft.com/office/2006/metadata/longProperties"/>
  </ds:schemaRefs>
</ds:datastoreItem>
</file>

<file path=customXml/itemProps4.xml><?xml version="1.0" encoding="utf-8"?>
<ds:datastoreItem xmlns:ds="http://schemas.openxmlformats.org/officeDocument/2006/customXml" ds:itemID="{05B1B1D8-E7B0-43D3-BF30-A53ECE29C7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590885-0391-4acc-a1a2-62bdd649afdc"/>
    <ds:schemaRef ds:uri="f203ef26-be28-437c-ae01-5f41441de6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Scenario Cover Sheet</vt:lpstr>
      <vt:lpstr>Steps</vt:lpstr>
      <vt:lpstr>References</vt:lpstr>
      <vt:lpstr>Scenario Metrics </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IBM_USER</dc:creator>
  <cp:keywords/>
  <dc:description/>
  <cp:lastModifiedBy>Samit paudel</cp:lastModifiedBy>
  <cp:revision/>
  <dcterms:created xsi:type="dcterms:W3CDTF">2007-03-01T15:17:38Z</dcterms:created>
  <dcterms:modified xsi:type="dcterms:W3CDTF">2025-04-15T04:56:53Z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IT Owner">
    <vt:lpwstr>Mark Sivilich</vt:lpwstr>
  </property>
  <property fmtid="{D5CDD505-2E9C-101B-9397-08002B2CF9AE}" pid="4" name="GKI Owner">
    <vt:lpwstr/>
  </property>
  <property fmtid="{D5CDD505-2E9C-101B-9397-08002B2CF9AE}" pid="5" name="NEP Owner">
    <vt:lpwstr/>
  </property>
  <property fmtid="{D5CDD505-2E9C-101B-9397-08002B2CF9AE}" pid="6" name="Seed Owner">
    <vt:lpwstr>Usher Thomason</vt:lpwstr>
  </property>
  <property fmtid="{D5CDD505-2E9C-101B-9397-08002B2CF9AE}" pid="7" name="ContentTypeId">
    <vt:lpwstr>0x01010019714232D8671D41B688C3A48C5AE621</vt:lpwstr>
  </property>
  <property fmtid="{D5CDD505-2E9C-101B-9397-08002B2CF9AE}" pid="8" name="SV_QUERY_LIST_4F35BF76-6C0D-4D9B-82B2-816C12CF3733">
    <vt:lpwstr>empty_477D106A-C0D6-4607-AEBD-E2C9D60EA279</vt:lpwstr>
  </property>
  <property fmtid="{D5CDD505-2E9C-101B-9397-08002B2CF9AE}" pid="9" name="MediaServiceImageTags">
    <vt:lpwstr/>
  </property>
  <property fmtid="{D5CDD505-2E9C-101B-9397-08002B2CF9AE}" pid="10" name="MSIP_Label_c6f1978b-6c9a-4677-b2e3-65b9a18b2c3a_Enabled">
    <vt:lpwstr>true</vt:lpwstr>
  </property>
  <property fmtid="{D5CDD505-2E9C-101B-9397-08002B2CF9AE}" pid="11" name="MSIP_Label_c6f1978b-6c9a-4677-b2e3-65b9a18b2c3a_SetDate">
    <vt:lpwstr>2025-01-28T16:13:52Z</vt:lpwstr>
  </property>
  <property fmtid="{D5CDD505-2E9C-101B-9397-08002B2CF9AE}" pid="12" name="MSIP_Label_c6f1978b-6c9a-4677-b2e3-65b9a18b2c3a_Method">
    <vt:lpwstr>Standard</vt:lpwstr>
  </property>
  <property fmtid="{D5CDD505-2E9C-101B-9397-08002B2CF9AE}" pid="13" name="MSIP_Label_c6f1978b-6c9a-4677-b2e3-65b9a18b2c3a_Name">
    <vt:lpwstr>defa4170-0d19-0005-0004-bc88714345d2</vt:lpwstr>
  </property>
  <property fmtid="{D5CDD505-2E9C-101B-9397-08002B2CF9AE}" pid="14" name="MSIP_Label_c6f1978b-6c9a-4677-b2e3-65b9a18b2c3a_SiteId">
    <vt:lpwstr>4481f9f4-d581-49bd-a706-22854e5e971f</vt:lpwstr>
  </property>
  <property fmtid="{D5CDD505-2E9C-101B-9397-08002B2CF9AE}" pid="15" name="MSIP_Label_c6f1978b-6c9a-4677-b2e3-65b9a18b2c3a_ActionId">
    <vt:lpwstr>323b2963-c284-4040-92ca-48ec58b53f14</vt:lpwstr>
  </property>
  <property fmtid="{D5CDD505-2E9C-101B-9397-08002B2CF9AE}" pid="16" name="MSIP_Label_c6f1978b-6c9a-4677-b2e3-65b9a18b2c3a_ContentBits">
    <vt:lpwstr>0</vt:lpwstr>
  </property>
  <property fmtid="{D5CDD505-2E9C-101B-9397-08002B2CF9AE}" pid="17" name="MSIP_Label_c6f1978b-6c9a-4677-b2e3-65b9a18b2c3a_Tag">
    <vt:lpwstr>10, 3, 0, 2</vt:lpwstr>
  </property>
  <property fmtid="{D5CDD505-2E9C-101B-9397-08002B2CF9AE}" pid="18" name="Order">
    <vt:r8>948400</vt:r8>
  </property>
  <property fmtid="{D5CDD505-2E9C-101B-9397-08002B2CF9AE}" pid="19" name="xd_Signature">
    <vt:bool>false</vt:bool>
  </property>
  <property fmtid="{D5CDD505-2E9C-101B-9397-08002B2CF9AE}" pid="20" name="xd_ProgID">
    <vt:lpwstr/>
  </property>
  <property fmtid="{D5CDD505-2E9C-101B-9397-08002B2CF9AE}" pid="21" name="_SourceUrl">
    <vt:lpwstr/>
  </property>
  <property fmtid="{D5CDD505-2E9C-101B-9397-08002B2CF9AE}" pid="22" name="_SharedFileIndex">
    <vt:lpwstr/>
  </property>
  <property fmtid="{D5CDD505-2E9C-101B-9397-08002B2CF9AE}" pid="23" name="ComplianceAssetId">
    <vt:lpwstr/>
  </property>
  <property fmtid="{D5CDD505-2E9C-101B-9397-08002B2CF9AE}" pid="24" name="TemplateUrl">
    <vt:lpwstr/>
  </property>
  <property fmtid="{D5CDD505-2E9C-101B-9397-08002B2CF9AE}" pid="25" name="_ExtendedDescription">
    <vt:lpwstr/>
  </property>
  <property fmtid="{D5CDD505-2E9C-101B-9397-08002B2CF9AE}" pid="26" name="TriggerFlowInfo">
    <vt:lpwstr/>
  </property>
</Properties>
</file>