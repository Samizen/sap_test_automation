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mit paudel\Downloads\ariba_automation\sap_test_automation\excel_name_change\excel_files\"/>
    </mc:Choice>
  </mc:AlternateContent>
  <bookViews>
    <workbookView xWindow="0" yWindow="-120" windowWidth="23040" windowHeight="9192" tabRatio="878" firstSheet="1" activeTab="1"/>
  </bookViews>
  <sheets>
    <sheet name="Scenario Cover Sheet" sheetId="1" r:id="rId1"/>
    <sheet name="Steps" sheetId="2" r:id="rId2"/>
    <sheet name="Sheet1" sheetId="3" r:id="rId3"/>
    <sheet name="References" sheetId="4" r:id="rId4"/>
    <sheet name="Scenario Metrics " sheetId="5" state="hidden" r:id="rId5"/>
  </sheets>
  <calcPr calcId="162913"/>
  <pivotCaches>
    <pivotCache cacheId="0" r:id="rId6"/>
  </pivotCaches>
</workbook>
</file>

<file path=xl/calcChain.xml><?xml version="1.0" encoding="utf-8"?>
<calcChain xmlns="http://schemas.openxmlformats.org/spreadsheetml/2006/main">
  <c r="C26" i="2" l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<sst xmlns="http://schemas.openxmlformats.org/spreadsheetml/2006/main" count="172" uniqueCount="125">
  <si>
    <t xml:space="preserve">__changed Owner: </t>
  </si>
  <si>
    <t>Test Cycle:</t>
  </si>
  <si>
    <t>__changed ID:</t>
  </si>
  <si>
    <t>GPO-001</t>
  </si>
  <si>
    <t>Test Objective:</t>
  </si>
  <si>
    <t>Create PR and PO in guided buying.</t>
  </si>
  <si>
    <t>__changed Description:</t>
  </si>
  <si>
    <t>Long Description __changed Summary for items to be tested</t>
  </si>
  <si>
    <t>Search catalog for items
Add items to cart
Complete requisition details and submit
Review PR approval flow 
Confirm PO generation
Create associated receipt</t>
  </si>
  <si>
    <t/>
  </si>
  <si>
    <t>Data Requirements</t>
  </si>
  <si>
    <t>Legacy Reference</t>
  </si>
  <si>
    <t>SAP Reference</t>
  </si>
  <si>
    <t>Comments</t>
  </si>
  <si>
    <t xml:space="preserve">Prerequisite </t>
  </si>
  <si>
    <t>Key RICEF Objects</t>
  </si>
  <si>
    <t>Master Data Validation</t>
  </si>
  <si>
    <t>SAP PO Post and Validation</t>
  </si>
  <si>
    <t>SAP Invoice to SAP</t>
  </si>
  <si>
    <t>Payment Remitance Validation to Ariba</t>
  </si>
  <si>
    <t>TEST SRIPT &amp; EXECUTION APPROVAL</t>
  </si>
  <si>
    <t>Name</t>
  </si>
  <si>
    <t>Signature</t>
  </si>
  <si>
    <t>Date</t>
  </si>
  <si>
    <t>__changed Number</t>
  </si>
  <si>
    <t>Step</t>
  </si>
  <si>
    <t>Team</t>
  </si>
  <si>
    <t xml:space="preserve">Description </t>
  </si>
  <si>
    <t>Tcode</t>
  </si>
  <si>
    <t>Test Data / Test Execution</t>
  </si>
  <si>
    <t>Expected Result</t>
  </si>
  <si>
    <t>Step Completed
Sucessfullyåç</t>
  </si>
  <si>
    <t>Actual Result</t>
  </si>
  <si>
    <t>FI Impact</t>
  </si>
  <si>
    <t>RICEF Tested</t>
  </si>
  <si>
    <t>TPR #</t>
  </si>
  <si>
    <t>Status</t>
  </si>
  <si>
    <t>Tester/User ID</t>
  </si>
  <si>
    <t>Y or N</t>
  </si>
  <si>
    <t>__changed No.</t>
  </si>
  <si>
    <t>Section</t>
  </si>
  <si>
    <t>BL_001</t>
  </si>
  <si>
    <t>env</t>
  </si>
  <si>
    <t>Buyer</t>
  </si>
  <si>
    <t>Complete script GEN-001 to log into Guided Buying.</t>
  </si>
  <si>
    <t>Login
Password</t>
  </si>
  <si>
    <t xml:space="preserve"> Nexus Water Group homepage is presented. </t>
  </si>
  <si>
    <t>Catalog</t>
  </si>
  <si>
    <t xml:space="preserve">_enter_ search term In the box containing the message "Find goods and services", search for a catalog item by name.
Click on Magnifying glass after entering the item name on box. </t>
  </si>
  <si>
    <t>"goggles"</t>
  </si>
  <si>
    <t>Search results from the  company catalog are  displayed.</t>
  </si>
  <si>
    <t>Hover on the desired item.</t>
  </si>
  <si>
    <t>Use the +/- buttons to increase or decrease the quantity.</t>
  </si>
  <si>
    <t>Safety Goggles - Pro-Safe - Direct Ventilation
$3.49 USD / each</t>
  </si>
  <si>
    <t>Quantity can be increased or decreased as desired.</t>
  </si>
  <si>
    <t>_enter_ the desired quantity  in the "Qty" box.</t>
  </si>
  <si>
    <t>Quantity: 30</t>
  </si>
  <si>
    <t>Desired quantity is indicated.</t>
  </si>
  <si>
    <t>Press "Add to Cart" button.</t>
  </si>
  <si>
    <t>Shopping Cart popup  window appears.</t>
  </si>
  <si>
    <t xml:space="preserve">Review the details on the shopping pop-up cart displayed at top right of screen.
</t>
  </si>
  <si>
    <t>Details are reviewed.</t>
  </si>
  <si>
    <t>Checkout items in the cart by pressing "Check Out".
Record the PR reference number as a result in Column K - Actual Result.</t>
  </si>
  <si>
    <t>Requisition screen appears. The system assigns the PR number to the document.</t>
  </si>
  <si>
    <t>Requisition Header</t>
  </si>
  <si>
    <t>_enter_ the requistion title on "Requistion title" box.</t>
  </si>
  <si>
    <t>Safety Goggles Test PR</t>
  </si>
  <si>
    <t>Requisition title is updated.</t>
  </si>
  <si>
    <t>_enter_ or verify the remaining data elements on the Requistion screen.
Note: Only "red " items should be editable.</t>
  </si>
  <si>
    <t>Need-by Date: Today + 7 days
Deliver To: [Your Name ]
Purchasing Unit:	[Leave default]
On Behalf Of: [Your Name ]
Plant: [Leave default]
Company Code: [Leave default]</t>
  </si>
  <si>
    <t>Fields are updated without any error.</t>
  </si>
  <si>
    <t>Requisition Lines</t>
  </si>
  <si>
    <t xml:space="preserve">_enter_ or  verify the information under the header area of item 1: 
(Click on &gt; button on left of item image to expand the section )                             Note: Only "red " items should be editable.
</t>
  </si>
  <si>
    <t>Safety Goggles - Pro-Safe - Direct Ventilation
Quantity : 1
Net Amount: $3.49 USD
Gross Amount: $3.49 USD
Contact : Ariba Network Account</t>
  </si>
  <si>
    <t>Fields are updated</t>
  </si>
  <si>
    <t>Click on &gt; button on left of "Accounting" to expand the section.
_enter_ or  verify the information in the Accounting  section. 
Note: only red items should be editable.</t>
  </si>
  <si>
    <t>Account Type: K (Cost Center)
Item Category : Standard
Bill To: 3020 (Texas Water Utilities, L.P.)
Account Assignment : K (Cost center)
GL Account:  Use default
Cost Center: Use default</t>
  </si>
  <si>
    <t>Click on &gt; button on left of "Shipping" to expand the section.
_enter_ or  verify the information in the Shipping  section. 
Note: only red items should be editable.</t>
  </si>
  <si>
    <t xml:space="preserve">Delivery Address: Use default
Deliver To: [Your Name ]
Need-by Date: Today +7
Purchase Group: Use default
</t>
  </si>
  <si>
    <t>Click on &gt; button on left of "Others" to expand this section.
_enter_ or  verify the information in the Others section. 
Note: only red items should be editable.</t>
  </si>
  <si>
    <t xml:space="preserve">Commodity Code : 441115 (Organizers and accessories)
Material Group : YBZ02 (Product Group Supplies)
Item Category : Material
Payment Terms :  Use default
SAPPlant :  Use default
Purch Org :  Use default
Line item Text : [IGNORE]
</t>
  </si>
  <si>
    <t>Fields are updated.</t>
  </si>
  <si>
    <t>Requisition Header Comments</t>
  </si>
  <si>
    <t xml:space="preserve">Access the comments section. 
_enter_ the information in the "Write your Comments"  section.                            
Using the chooser, determine or verify if the comment should be visible to the supplier. 
Note : only red items should be editable. </t>
  </si>
  <si>
    <t>Comments: [Blank]
Share with Supplier: [Not Checked]</t>
  </si>
  <si>
    <t>You are able to write the comments with the desired visibility of the supplier.</t>
  </si>
  <si>
    <t>Press "Add"  to save Comments updates.</t>
  </si>
  <si>
    <t>Added Comments page is displayed. Comments section displays Creator, Comment, Shared with supplier info and date created.</t>
  </si>
  <si>
    <t>Requisition Header Attachments</t>
  </si>
  <si>
    <t xml:space="preserve">Access "Attachments" section. 
Press "Browse" to add an attachment.
</t>
  </si>
  <si>
    <t>File system window appears</t>
  </si>
  <si>
    <t>Select the desired file to be attached, and press "Open".</t>
  </si>
  <si>
    <t>File is uploaded to Ariba Buying. File name is displayed.</t>
  </si>
  <si>
    <t xml:space="preserve">Using the checkbox , determine or verify if the attachement should be visible to the supplier. </t>
  </si>
  <si>
    <t>Share with Supplier: [Not selected]</t>
  </si>
  <si>
    <t>Press "Add"  to save Attachment.</t>
  </si>
  <si>
    <t xml:space="preserve"> Attachment file name, size, Creator, and visible to supplier on Order is visible.</t>
  </si>
  <si>
    <t>Approval Flow</t>
  </si>
  <si>
    <t>Verify the approval flow displayed under Approval Flow header at bottom of the screen.</t>
  </si>
  <si>
    <t>Approver/s are shown.</t>
  </si>
  <si>
    <t>Respective approvers are displayed.</t>
  </si>
  <si>
    <t>Requisition</t>
  </si>
  <si>
    <t xml:space="preserve">Press "Submit"  to submit the requisition for approval. </t>
  </si>
  <si>
    <t>Message appears "Your requisition has been sent for approval.</t>
  </si>
  <si>
    <t>View Approval Flow</t>
  </si>
  <si>
    <t xml:space="preserve">Click on View Requisition to display the created requisiton. </t>
  </si>
  <si>
    <t xml:space="preserve">
Submitted</t>
  </si>
  <si>
    <t>The PR is now on Submitted status.
Approval Flow is now active shown by green flow.</t>
  </si>
  <si>
    <t>Count of Status</t>
  </si>
  <si>
    <t>(blank)</t>
  </si>
  <si>
    <t>10 - Not Started</t>
  </si>
  <si>
    <t>20 - In-Process</t>
  </si>
  <si>
    <t>30 - TPR Hold</t>
  </si>
  <si>
    <t>40 - DEV Hold</t>
  </si>
  <si>
    <t>50 - Pass</t>
  </si>
  <si>
    <t>60 - N/A</t>
  </si>
  <si>
    <t>Grand Total</t>
  </si>
  <si>
    <t>PP_018</t>
  </si>
  <si>
    <t>RTR</t>
  </si>
  <si>
    <t>PTP</t>
  </si>
  <si>
    <t>PP</t>
  </si>
  <si>
    <t>IMWM</t>
  </si>
  <si>
    <t>PP_018 Total</t>
  </si>
  <si>
    <t>ZZZ999</t>
  </si>
  <si>
    <t>ZZZ999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</si>
</sst>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0"/>
      <name val="Arial"/>
    </font>
    <font>
      <b/>
      <sz val="9"/>
      <name val="Arial"/>
      <family val="2"/>
    </font>
    <font>
      <sz val="9"/>
      <name val="Arial"/>
      <family val="2"/>
    </font>
    <font>
      <b/>
      <i/>
      <sz val="9"/>
      <name val="Arial"/>
      <family val="2"/>
    </font>
    <font>
      <sz val="9"/>
      <name val="Times New Roman"/>
      <family val="1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i/>
      <sz val="10"/>
      <name val="Arial"/>
      <family val="2"/>
    </font>
    <font>
      <sz val="14"/>
      <name val="Calibri"/>
      <scheme val="minor"/>
    </font>
    <font>
      <sz val="14"/>
      <color rgb="FF000000"/>
      <name val="Calibri"/>
      <scheme val="minor"/>
    </font>
    <font>
      <sz val="14"/>
      <color rgb="FF0070C0"/>
      <name val="Calibri"/>
      <scheme val="minor"/>
    </font>
    <font>
      <b/>
      <sz val="14"/>
      <name val="Calibri"/>
      <scheme val="minor"/>
    </font>
    <font>
      <sz val="14"/>
      <name val="Calibri"/>
      <family val="2"/>
      <scheme val="minor"/>
    </font>
    <font>
      <sz val="14"/>
      <color rgb="FFFF0000"/>
      <name val="Calibri"/>
      <scheme val="minor"/>
    </font>
    <font>
      <sz val="14"/>
      <color theme="1"/>
      <name val="Calibri"/>
      <scheme val="minor"/>
    </font>
    <font>
      <sz val="14"/>
      <color rgb="FF262626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11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3" borderId="1" xfId="0" applyFont="1" applyFill="1" applyBorder="1"/>
    <xf numFmtId="0" fontId="0" fillId="2" borderId="16" xfId="0" applyFill="1" applyBorder="1" applyAlignment="1">
      <alignment horizontal="center"/>
    </xf>
    <xf numFmtId="0" fontId="5" fillId="3" borderId="17" xfId="0" applyFont="1" applyFill="1" applyBorder="1"/>
    <xf numFmtId="0" fontId="5" fillId="3" borderId="18" xfId="0" applyFont="1" applyFill="1" applyBorder="1"/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10" xfId="0" applyFont="1" applyFill="1" applyBorder="1"/>
    <xf numFmtId="0" fontId="5" fillId="3" borderId="23" xfId="0" applyFont="1" applyFill="1" applyBorder="1"/>
    <xf numFmtId="0" fontId="0" fillId="0" borderId="17" xfId="0" pivotButton="1" applyBorder="1"/>
    <xf numFmtId="0" fontId="5" fillId="3" borderId="19" xfId="0" applyFont="1" applyFill="1" applyBorder="1"/>
    <xf numFmtId="0" fontId="5" fillId="0" borderId="24" xfId="0" pivotButton="1" applyFont="1" applyBorder="1" applyAlignment="1">
      <alignment horizontal="center"/>
    </xf>
    <xf numFmtId="0" fontId="5" fillId="3" borderId="23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0" fillId="3" borderId="20" xfId="0" applyFill="1" applyBorder="1"/>
    <xf numFmtId="0" fontId="5" fillId="3" borderId="21" xfId="0" applyFont="1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5" fillId="3" borderId="26" xfId="0" applyFont="1" applyFill="1" applyBorder="1"/>
    <xf numFmtId="0" fontId="0" fillId="0" borderId="27" xfId="0" applyBorder="1"/>
    <xf numFmtId="0" fontId="0" fillId="2" borderId="0" xfId="0" applyFill="1" applyAlignment="1">
      <alignment horizontal="center"/>
    </xf>
    <xf numFmtId="0" fontId="0" fillId="2" borderId="28" xfId="0" applyFill="1" applyBorder="1" applyAlignment="1">
      <alignment horizontal="center"/>
    </xf>
    <xf numFmtId="0" fontId="0" fillId="0" borderId="29" xfId="0" applyBorder="1"/>
    <xf numFmtId="0" fontId="5" fillId="3" borderId="30" xfId="0" applyFont="1" applyFill="1" applyBorder="1"/>
    <xf numFmtId="0" fontId="0" fillId="0" borderId="31" xfId="0" applyBorder="1"/>
    <xf numFmtId="0" fontId="0" fillId="3" borderId="17" xfId="0" applyFill="1" applyBorder="1"/>
    <xf numFmtId="0" fontId="0" fillId="3" borderId="32" xfId="0" applyFill="1" applyBorder="1"/>
    <xf numFmtId="0" fontId="1" fillId="4" borderId="3" xfId="1" applyFont="1" applyFill="1" applyBorder="1"/>
    <xf numFmtId="0" fontId="2" fillId="0" borderId="37" xfId="1" applyFont="1" applyBorder="1"/>
    <xf numFmtId="0" fontId="2" fillId="0" borderId="4" xfId="1" applyFont="1" applyBorder="1"/>
    <xf numFmtId="0" fontId="2" fillId="0" borderId="5" xfId="1" applyFont="1" applyBorder="1"/>
    <xf numFmtId="0" fontId="2" fillId="0" borderId="0" xfId="1" applyFont="1"/>
    <xf numFmtId="0" fontId="1" fillId="4" borderId="3" xfId="1" applyFont="1" applyFill="1" applyBorder="1" applyAlignment="1">
      <alignment vertical="top" wrapText="1"/>
    </xf>
    <xf numFmtId="0" fontId="2" fillId="0" borderId="7" xfId="1" applyFont="1" applyBorder="1" applyAlignment="1">
      <alignment horizontal="left" vertical="top" wrapText="1"/>
    </xf>
    <xf numFmtId="0" fontId="3" fillId="0" borderId="8" xfId="1" applyFont="1" applyBorder="1" applyAlignment="1">
      <alignment horizontal="justify"/>
    </xf>
    <xf numFmtId="0" fontId="2" fillId="0" borderId="9" xfId="1" applyFont="1" applyBorder="1"/>
    <xf numFmtId="0" fontId="1" fillId="4" borderId="10" xfId="1" applyFont="1" applyFill="1" applyBorder="1" applyAlignment="1">
      <alignment vertical="top" wrapText="1"/>
    </xf>
    <xf numFmtId="0" fontId="1" fillId="4" borderId="11" xfId="1" applyFont="1" applyFill="1" applyBorder="1" applyAlignment="1">
      <alignment vertical="top" wrapText="1"/>
    </xf>
    <xf numFmtId="0" fontId="2" fillId="4" borderId="12" xfId="1" applyFont="1" applyFill="1" applyBorder="1"/>
    <xf numFmtId="0" fontId="2" fillId="0" borderId="0" xfId="1" applyFont="1" applyAlignment="1">
      <alignment horizontal="left"/>
    </xf>
    <xf numFmtId="0" fontId="2" fillId="0" borderId="8" xfId="1" applyFont="1" applyBorder="1"/>
    <xf numFmtId="0" fontId="2" fillId="0" borderId="9" xfId="1" applyFont="1" applyBorder="1" applyAlignment="1">
      <alignment horizontal="center"/>
    </xf>
    <xf numFmtId="0" fontId="3" fillId="0" borderId="8" xfId="1" applyFont="1" applyBorder="1"/>
    <xf numFmtId="0" fontId="1" fillId="4" borderId="10" xfId="1" applyFont="1" applyFill="1" applyBorder="1" applyAlignment="1">
      <alignment horizontal="justify" vertical="top" wrapText="1"/>
    </xf>
    <xf numFmtId="0" fontId="1" fillId="4" borderId="11" xfId="1" applyFont="1" applyFill="1" applyBorder="1" applyAlignment="1">
      <alignment horizontal="justify" vertical="top" wrapText="1"/>
    </xf>
    <xf numFmtId="0" fontId="2" fillId="0" borderId="33" xfId="1" applyFont="1" applyBorder="1"/>
    <xf numFmtId="0" fontId="2" fillId="0" borderId="13" xfId="1" applyFont="1" applyBorder="1" applyAlignment="1">
      <alignment vertical="top" wrapText="1"/>
    </xf>
    <xf numFmtId="0" fontId="4" fillId="0" borderId="14" xfId="1" applyFont="1" applyBorder="1" applyAlignment="1">
      <alignment vertical="top" wrapText="1"/>
    </xf>
    <xf numFmtId="0" fontId="2" fillId="0" borderId="15" xfId="1" applyFont="1" applyBorder="1"/>
    <xf numFmtId="0" fontId="7" fillId="0" borderId="0" xfId="1" applyFont="1" applyAlignment="1">
      <alignment horizontal="justify"/>
    </xf>
    <xf numFmtId="0" fontId="6" fillId="0" borderId="0" xfId="1"/>
    <xf numFmtId="0" fontId="8" fillId="0" borderId="0" xfId="1" applyFont="1"/>
    <xf numFmtId="0" fontId="5" fillId="0" borderId="0" xfId="1" applyFont="1"/>
    <xf numFmtId="0" fontId="5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 applyAlignment="1">
      <alignment horizontal="left"/>
    </xf>
    <xf numFmtId="0" fontId="9" fillId="6" borderId="38" xfId="0" applyFont="1" applyFill="1" applyBorder="1" applyAlignment="1">
      <alignment horizontal="left" vertical="top" wrapText="1"/>
    </xf>
    <xf numFmtId="0" fontId="13" fillId="0" borderId="0" xfId="0" applyFont="1" applyAlignment="1">
      <alignment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5" borderId="40" xfId="0" applyFont="1" applyFill="1" applyBorder="1" applyAlignment="1">
      <alignment vertical="center"/>
    </xf>
    <xf numFmtId="0" fontId="12" fillId="5" borderId="41" xfId="0" applyFont="1" applyFill="1" applyBorder="1" applyAlignment="1">
      <alignment vertical="center" wrapText="1"/>
    </xf>
    <xf numFmtId="0" fontId="12" fillId="5" borderId="41" xfId="0" applyFont="1" applyFill="1" applyBorder="1" applyAlignment="1">
      <alignment vertical="center"/>
    </xf>
    <xf numFmtId="0" fontId="12" fillId="5" borderId="40" xfId="0" applyFont="1" applyFill="1" applyBorder="1" applyAlignment="1">
      <alignment vertical="center" wrapText="1"/>
    </xf>
    <xf numFmtId="0" fontId="14" fillId="6" borderId="38" xfId="0" applyFont="1" applyFill="1" applyBorder="1" applyAlignment="1">
      <alignment horizontal="left" vertical="top" wrapText="1"/>
    </xf>
    <xf numFmtId="0" fontId="15" fillId="6" borderId="38" xfId="0" applyFont="1" applyFill="1" applyBorder="1" applyAlignment="1">
      <alignment horizontal="left" vertical="top" wrapText="1"/>
    </xf>
    <xf numFmtId="0" fontId="9" fillId="6" borderId="38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top" wrapText="1"/>
    </xf>
    <xf numFmtId="0" fontId="9" fillId="7" borderId="38" xfId="0" applyFont="1" applyFill="1" applyBorder="1" applyAlignment="1">
      <alignment vertical="top" wrapText="1"/>
    </xf>
    <xf numFmtId="0" fontId="10" fillId="7" borderId="38" xfId="0" applyFont="1" applyFill="1" applyBorder="1" applyAlignment="1">
      <alignment vertical="top" wrapText="1"/>
    </xf>
    <xf numFmtId="0" fontId="11" fillId="7" borderId="38" xfId="0" applyFont="1" applyFill="1" applyBorder="1" applyAlignment="1">
      <alignment vertical="top" wrapText="1"/>
    </xf>
    <xf numFmtId="0" fontId="10" fillId="7" borderId="38" xfId="0" applyFont="1" applyFill="1" applyBorder="1" applyAlignment="1">
      <alignment wrapText="1"/>
    </xf>
    <xf numFmtId="0" fontId="9" fillId="7" borderId="38" xfId="0" applyFont="1" applyFill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6" fillId="6" borderId="38" xfId="0" applyFont="1" applyFill="1" applyBorder="1" applyAlignment="1">
      <alignment horizontal="left" vertical="top" wrapText="1"/>
    </xf>
    <xf numFmtId="0" fontId="2" fillId="0" borderId="0" xfId="1" applyFont="1" applyAlignment="1">
      <alignment horizontal="left" vertical="top" wrapText="1"/>
    </xf>
    <xf numFmtId="0" fontId="2" fillId="0" borderId="6" xfId="1" applyFont="1" applyBorder="1" applyAlignment="1">
      <alignment horizontal="left" vertical="top" wrapText="1"/>
    </xf>
    <xf numFmtId="0" fontId="2" fillId="0" borderId="43" xfId="1" applyFont="1" applyBorder="1" applyAlignment="1">
      <alignment vertical="top" wrapText="1"/>
    </xf>
    <xf numFmtId="0" fontId="2" fillId="0" borderId="34" xfId="1" applyFont="1" applyBorder="1" applyAlignment="1">
      <alignment vertical="top" wrapText="1"/>
    </xf>
    <xf numFmtId="0" fontId="2" fillId="0" borderId="8" xfId="1" applyFont="1" applyBorder="1" applyAlignment="1">
      <alignment vertical="top" wrapText="1"/>
    </xf>
    <xf numFmtId="0" fontId="2" fillId="0" borderId="0" xfId="1" applyFont="1" applyAlignment="1">
      <alignment vertical="top" wrapText="1"/>
    </xf>
    <xf numFmtId="0" fontId="12" fillId="0" borderId="38" xfId="0" applyFont="1" applyBorder="1" applyAlignment="1">
      <alignment horizontal="center" vertical="center" wrapText="1"/>
    </xf>
    <xf numFmtId="0" fontId="2" fillId="0" borderId="8" xfId="1" applyFont="1" applyBorder="1" applyAlignment="1">
      <alignment horizontal="left" vertical="top" wrapText="1"/>
    </xf>
    <xf numFmtId="0" fontId="2" fillId="0" borderId="0" xfId="1" applyFont="1"/>
    <xf numFmtId="0" fontId="2" fillId="0" borderId="8" xfId="1" applyFont="1" applyBorder="1" applyAlignment="1">
      <alignment horizontal="center" vertical="top" wrapText="1"/>
    </xf>
    <xf numFmtId="0" fontId="2" fillId="0" borderId="35" xfId="1" applyFont="1" applyBorder="1" applyAlignment="1">
      <alignment vertical="top" wrapText="1"/>
    </xf>
    <xf numFmtId="0" fontId="0" fillId="0" borderId="34" xfId="0" applyBorder="1"/>
    <xf numFmtId="0" fontId="0" fillId="0" borderId="33" xfId="0" applyBorder="1"/>
    <xf numFmtId="0" fontId="0" fillId="0" borderId="8" xfId="0" applyBorder="1"/>
    <xf numFmtId="0" fontId="0" fillId="0" borderId="9" xfId="0" applyBorder="1"/>
    <xf numFmtId="0" fontId="2" fillId="0" borderId="35" xfId="1" applyFont="1" applyBorder="1" applyAlignment="1">
      <alignment horizontal="center" vertical="top" wrapText="1"/>
    </xf>
    <xf numFmtId="0" fontId="2" fillId="0" borderId="44" xfId="1" applyFont="1" applyBorder="1" applyAlignment="1">
      <alignment horizontal="left" vertical="top" wrapText="1"/>
    </xf>
    <xf numFmtId="0" fontId="0" fillId="0" borderId="6" xfId="0" applyBorder="1"/>
    <xf numFmtId="0" fontId="2" fillId="0" borderId="48" xfId="1" applyFont="1" applyBorder="1" applyAlignment="1">
      <alignment vertical="top" wrapText="1"/>
    </xf>
    <xf numFmtId="0" fontId="0" fillId="0" borderId="45" xfId="0" applyBorder="1"/>
    <xf numFmtId="0" fontId="0" fillId="0" borderId="46" xfId="0" applyBorder="1"/>
    <xf numFmtId="0" fontId="1" fillId="4" borderId="3" xfId="1" applyFont="1" applyFill="1" applyBorder="1" applyAlignment="1">
      <alignment horizontal="left" vertical="top" wrapText="1"/>
    </xf>
    <xf numFmtId="0" fontId="0" fillId="0" borderId="36" xfId="0" applyBorder="1"/>
    <xf numFmtId="0" fontId="2" fillId="0" borderId="0" xfId="1" applyFont="1" applyAlignment="1">
      <alignment horizontal="center" vertical="top" wrapText="1"/>
    </xf>
    <xf numFmtId="0" fontId="0" fillId="0" borderId="11" xfId="0" applyBorder="1"/>
    <xf numFmtId="0" fontId="0" fillId="0" borderId="12" xfId="0" applyBorder="1"/>
    <xf numFmtId="0" fontId="2" fillId="0" borderId="15" xfId="1" applyFont="1" applyBorder="1" applyAlignment="1">
      <alignment horizontal="left" vertical="top" wrapText="1"/>
    </xf>
    <xf numFmtId="0" fontId="0" fillId="0" borderId="14" xfId="0" applyBorder="1"/>
    <xf numFmtId="0" fontId="0" fillId="0" borderId="15" xfId="0" applyBorder="1"/>
    <xf numFmtId="0" fontId="12" fillId="0" borderId="38" xfId="0" applyFont="1" applyBorder="1" applyAlignment="1">
      <alignment horizontal="center" vertical="center" wrapText="1"/>
    </xf>
    <xf numFmtId="0" fontId="0" fillId="0" borderId="40" xfId="0" applyBorder="1"/>
    <xf numFmtId="0" fontId="12" fillId="0" borderId="47" xfId="0" applyFont="1" applyBorder="1" applyAlignment="1">
      <alignment horizontal="center" vertical="center" wrapText="1"/>
    </xf>
    <xf numFmtId="0" fontId="0" fillId="0" borderId="41" xfId="0" applyBorder="1"/>
    <xf numFmtId="0" fontId="12" fillId="0" borderId="42" xfId="0" applyFont="1" applyBorder="1" applyAlignment="1">
      <alignment horizontal="center" vertical="center" wrapText="1"/>
    </xf>
    <xf numFmtId="0" fontId="0" fillId="0" borderId="49" xfId="0" applyBorder="1"/>
  </cellXfs>
  <cellStyles count="2">
    <cellStyle name="Normal" xfId="0" builtinId="0"/>
    <cellStyle name="Normal 2" xfId="1"/>
  </cellStyles>
  <dxfs count="44"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indexed="42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rowning G Hollomon" refreshedDate="39386.436179745368" createdVersion="1" refreshedVersion="3" recordCount="137" upgradeOnRefresh="1">
  <cacheSource type="worksheet">
    <worksheetSource ref="A1:N13" sheet="SM-MD Tank Final"/>
  </cacheSource>
  <cacheFields count="15">
    <cacheField name="Scenario Number" numFmtId="0">
      <sharedItems containsBlank="1" count="28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numFmtId="0">
      <sharedItems containsString="0" containsBlank="1" containsNumber="1" containsInteger="1" minValue="1" maxValue="46"/>
    </cacheField>
    <cacheField name="Team" numFmtId="0">
      <sharedItems containsBlank="1" count="7">
        <m/>
        <s v="FTS"/>
        <s v="PTP"/>
        <s v="IMWM"/>
        <s v="RTR"/>
        <s v="OTC" u="1"/>
        <s v="XXX" u="1"/>
      </sharedItems>
    </cacheField>
    <cacheField name="Description " numFmtId="0">
      <sharedItems containsBlank="1"/>
    </cacheField>
    <cacheField name="Tcode" numFmtId="0">
      <sharedItems containsBlank="1"/>
    </cacheField>
    <cacheField name="Tester" numFmtId="0">
      <sharedItems containsBlank="1"/>
    </cacheField>
    <cacheField name="Test Data / Test Execution" numFmtId="0">
      <sharedItems containsBlank="1"/>
    </cacheField>
    <cacheField name="Expected Result" numFmtId="0">
      <sharedItems containsBlank="1"/>
    </cacheField>
    <cacheField name="Actual Result" numFmtId="0">
      <sharedItems containsBlank="1"/>
    </cacheField>
    <cacheField name="FI Impact" numFmtId="0">
      <sharedItems containsBlank="1"/>
    </cacheField>
    <cacheField name="RICEF Tested" numFmtId="0">
      <sharedItems containsBlank="1"/>
    </cacheField>
    <cacheField name="TPR #" numFmtId="0">
      <sharedItems containsNonDate="0" containsString="0" containsBlank="1"/>
    </cacheField>
    <cacheField name="Status" numFmtId="0">
      <sharedItems containsBlank="1" count="34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numFmtId="0">
      <sharedItems containsNonDate="0" containsString="0" containsBlank="1"/>
    </cacheField>
    <cacheField name="Comment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dataOnRows="1" applyNumberFormats="0" applyBorderFormats="0" applyFontFormats="0" applyPatternFormats="0" applyAlignmentFormats="0" applyWidthHeightFormats="1" dataCaption="Data" updatedVersion="3" showMemberPropertyTips="0" useAutoFormatting="1" itemPrintTitles="1" createdVersion="1" indent="0" compact="0" compactData="0" gridDropZones="1" multipleFieldFilters="0">
  <location ref="A3:J12" firstHeaderRow="1" firstDataRow="2" firstDataCol="2"/>
  <pivotFields count="15">
    <pivotField axis="axisRow" compact="0" outline="0" subtotalTop="0" showAll="0" includeNewItemsInFilter="1">
      <items count="29">
        <item h="1" m="1" x="27"/>
        <item h="1" x="0"/>
        <item h="1" m="1" x="10"/>
        <item n="PP_018" x="2"/>
        <item m="1" x="8"/>
        <item x="7"/>
        <item m="1" x="16"/>
        <item m="1" x="18"/>
        <item m="1" x="20"/>
        <item m="1" x="22"/>
        <item m="1" x="23"/>
        <item m="1" x="24"/>
        <item m="1" x="25"/>
        <item m="1" x="26"/>
        <item m="1" x="9"/>
        <item m="1" x="11"/>
        <item m="1" x="12"/>
        <item m="1" x="13"/>
        <item m="1" x="14"/>
        <item m="1" x="15"/>
        <item m="1" x="17"/>
        <item m="1" x="19"/>
        <item m="1" x="21"/>
        <item x="1"/>
        <item x="3"/>
        <item x="4"/>
        <item x="5"/>
        <item x="6"/>
        <item t="default"/>
      </items>
    </pivotField>
    <pivotField compact="0" outline="0" subtotalTop="0" showAll="0" includeNewItemsInFilter="1"/>
    <pivotField axis="axisRow" compact="0" outline="0" subtotalTop="0" showAll="0" includeNewItemsInFilter="1">
      <items count="8">
        <item h="1" x="0"/>
        <item m="1" x="5"/>
        <item x="4"/>
        <item x="2"/>
        <item n="PP" x="1"/>
        <item m="1" x="6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dataField="1" compact="0" outline="0" subtotalTop="0" showAll="0" includeNewItemsInFilter="1">
      <items count="35">
        <item m="1" x="12"/>
        <item m="1" x="16"/>
        <item m="1" x="29"/>
        <item m="1" x="31"/>
        <item m="1" x="24"/>
        <item x="0"/>
        <item m="1" x="17"/>
        <item m="1" x="33"/>
        <item m="1" x="26"/>
        <item m="1" x="13"/>
        <item m="1" x="9"/>
        <item m="1" x="25"/>
        <item m="1" x="8"/>
        <item m="1" x="28"/>
        <item m="1" x="19"/>
        <item m="1" x="30"/>
        <item m="1" x="15"/>
        <item x="3"/>
        <item x="4"/>
        <item x="5"/>
        <item x="6"/>
        <item m="1" x="10"/>
        <item m="1" x="18"/>
        <item m="1" x="11"/>
        <item m="1" x="22"/>
        <item m="1" x="32"/>
        <item m="1" x="20"/>
        <item m="1" x="27"/>
        <item m="1" x="14"/>
        <item m="1" x="23"/>
        <item m="1" x="7"/>
        <item m="1" x="21"/>
        <item x="1"/>
        <item x="2"/>
        <item t="default"/>
      </items>
    </pivotField>
    <pivotField compact="0" outline="0" subtotalTop="0" showAll="0" includeNewItemsInFilter="1"/>
    <pivotField compact="0" outline="0" subtotalTop="0" showAll="0" includeNewItemsInFilter="1"/>
  </pivotFields>
  <rowFields count="2">
    <field x="0"/>
    <field x="2"/>
  </rowFields>
  <rowItems count="8">
    <i>
      <x v="3"/>
      <x v="2"/>
    </i>
    <i r="1">
      <x v="3"/>
    </i>
    <i r="1">
      <x v="4"/>
    </i>
    <i r="1">
      <x v="6"/>
    </i>
    <i t="default">
      <x v="3"/>
    </i>
    <i>
      <x v="5"/>
      <x v="4"/>
    </i>
    <i t="default">
      <x v="5"/>
    </i>
    <i t="grand">
      <x/>
    </i>
  </rowItems>
  <colFields count="1">
    <field x="12"/>
  </colFields>
  <colItems count="8">
    <i>
      <x v="5"/>
    </i>
    <i>
      <x v="17"/>
    </i>
    <i>
      <x v="18"/>
    </i>
    <i>
      <x v="19"/>
    </i>
    <i>
      <x v="20"/>
    </i>
    <i>
      <x v="32"/>
    </i>
    <i>
      <x v="33"/>
    </i>
    <i t="grand">
      <x/>
    </i>
  </colItems>
  <dataFields count="1">
    <dataField name="Count of Status" fld="12" subtotal="count" baseField="0" baseItem="0"/>
  </dataFields>
  <formats count="44">
    <format dxfId="43">
      <pivotArea outline="0" fieldPosition="0"/>
    </format>
    <format dxfId="42">
      <pivotArea type="origin" dataOnly="0" labelOnly="1" outline="0" fieldPosition="0"/>
    </format>
    <format dxfId="41">
      <pivotArea field="2" type="button" dataOnly="0" labelOnly="1" outline="0" axis="axisRow" fieldPosition="1"/>
    </format>
    <format dxfId="40">
      <pivotArea dataOnly="0" labelOnly="1" outline="0" fieldPosition="0">
        <references count="1">
          <reference field="2" count="0"/>
        </references>
      </pivotArea>
    </format>
    <format dxfId="39">
      <pivotArea dataOnly="0" labelOnly="1" grandRow="1" outline="0" fieldPosition="0"/>
    </format>
    <format dxfId="38">
      <pivotArea type="topRight" dataOnly="0" labelOnly="1" outline="0" fieldPosition="0"/>
    </format>
    <format dxfId="37">
      <pivotArea dataOnly="0" labelOnly="1" grandCol="1" outline="0" fieldPosition="0"/>
    </format>
    <format dxfId="36">
      <pivotArea outline="0" fieldPosition="0"/>
    </format>
    <format dxfId="35">
      <pivotArea type="origin" dataOnly="0" labelOnly="1" outline="0" fieldPosition="0"/>
    </format>
    <format dxfId="34">
      <pivotArea field="2" type="button" dataOnly="0" labelOnly="1" outline="0" axis="axisRow" fieldPosition="1"/>
    </format>
    <format dxfId="33">
      <pivotArea dataOnly="0" labelOnly="1" outline="0" fieldPosition="0">
        <references count="1">
          <reference field="2" count="0"/>
        </references>
      </pivotArea>
    </format>
    <format dxfId="32">
      <pivotArea dataOnly="0" labelOnly="1" grandRow="1" outline="0" fieldPosition="0"/>
    </format>
    <format dxfId="31">
      <pivotArea dataOnly="0" labelOnly="1" grandCol="1" outline="0" fieldPosition="0"/>
    </format>
    <format dxfId="30">
      <pivotArea dataOnly="0" labelOnly="1" grandCol="1" outline="0" fieldPosition="0"/>
    </format>
    <format dxfId="29">
      <pivotArea field="12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outline="0" fieldPosition="0">
        <references count="1">
          <reference field="12" count="5">
            <x v="6"/>
            <x v="7"/>
            <x v="8"/>
            <x v="9"/>
            <x v="10"/>
          </reference>
        </references>
      </pivotArea>
    </format>
    <format dxfId="26">
      <pivotArea outline="0" fieldPosition="0">
        <references count="1">
          <reference field="12" count="5" selected="0">
            <x v="6"/>
            <x v="7"/>
            <x v="8"/>
            <x v="9"/>
            <x v="10"/>
          </reference>
        </references>
      </pivotArea>
    </format>
    <format dxfId="25">
      <pivotArea field="12" type="button" dataOnly="0" labelOnly="1" outline="0" axis="axisCol" fieldPosition="0"/>
    </format>
    <format dxfId="24">
      <pivotArea type="topRight" dataOnly="0" labelOnly="1" outline="0" fieldPosition="0"/>
    </format>
    <format dxfId="23">
      <pivotArea dataOnly="0" labelOnly="1" outline="0" fieldPosition="0">
        <references count="1">
          <reference field="12" count="5">
            <x v="6"/>
            <x v="7"/>
            <x v="8"/>
            <x v="9"/>
            <x v="10"/>
          </reference>
        </references>
      </pivotArea>
    </format>
    <format dxfId="22">
      <pivotArea dataOnly="0" labelOnly="1" outline="0" fieldPosition="0">
        <references count="1">
          <reference field="0" count="1">
            <x v="0"/>
          </reference>
        </references>
      </pivotArea>
    </format>
    <format dxfId="21">
      <pivotArea dataOnly="0" labelOnly="1" outline="0" fieldPosition="0">
        <references count="1">
          <reference field="0" count="1" defaultSubtotal="1">
            <x v="0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0"/>
          </reference>
          <reference field="2" count="0"/>
        </references>
      </pivotArea>
    </format>
    <format dxfId="19">
      <pivotArea dataOnly="0" labelOnly="1" outline="0" fieldPosition="0">
        <references count="1">
          <reference field="0" count="1">
            <x v="2"/>
          </reference>
        </references>
      </pivotArea>
    </format>
    <format dxfId="18">
      <pivotArea dataOnly="0" labelOnly="1" outline="0" fieldPosition="0">
        <references count="1">
          <reference field="0" count="1" defaultSubtotal="1">
            <x v="2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2"/>
          </reference>
          <reference field="2" count="1">
            <x v="1"/>
          </reference>
        </references>
      </pivotArea>
    </format>
    <format dxfId="16">
      <pivotArea type="all" dataOnly="0" outline="0" fieldPosition="0"/>
    </format>
    <format dxfId="15">
      <pivotArea outline="0" fieldPosition="0">
        <references count="1">
          <reference field="0" count="1" selected="0" defaultSubtotal="1">
            <x v="0"/>
          </reference>
        </references>
      </pivotArea>
    </format>
    <format dxfId="14">
      <pivotArea dataOnly="0" labelOnly="1" outline="0" fieldPosition="0">
        <references count="1">
          <reference field="0" count="1" defaultSubtotal="1">
            <x v="0"/>
          </reference>
        </references>
      </pivotArea>
    </format>
    <format dxfId="13">
      <pivotArea outline="0" fieldPosition="0">
        <references count="1">
          <reference field="0" count="1" selected="0" defaultSubtotal="1">
            <x v="3"/>
          </reference>
        </references>
      </pivotArea>
    </format>
    <format dxfId="12">
      <pivotArea outline="0" fieldPosition="0">
        <references count="1">
          <reference field="0" count="1" selected="0">
            <x v="5"/>
          </reference>
        </references>
      </pivotArea>
    </format>
    <format dxfId="11">
      <pivotArea type="origin" dataOnly="0" labelOnly="1" outline="0" fieldPosition="0"/>
    </format>
    <format dxfId="10">
      <pivotArea field="0" type="button" dataOnly="0" labelOnly="1" outline="0" axis="axisRow" fieldPosition="0"/>
    </format>
    <format dxfId="9">
      <pivotArea field="2" type="button" dataOnly="0" labelOnly="1" outline="0" axis="axisRow" fieldPosition="1"/>
    </format>
    <format dxfId="8">
      <pivotArea field="12" type="button" dataOnly="0" labelOnly="1" outline="0" axis="axisCol" fieldPosition="0"/>
    </format>
    <format dxfId="7">
      <pivotArea type="topRight" dataOnly="0" labelOnly="1" outline="0" fieldPosition="0"/>
    </format>
    <format dxfId="6">
      <pivotArea dataOnly="0" labelOnly="1" outline="0" fieldPosition="0">
        <references count="1">
          <reference field="0" count="0"/>
        </references>
      </pivotArea>
    </format>
    <format dxfId="5">
      <pivotArea dataOnly="0" labelOnly="1" outline="0" fieldPosition="0">
        <references count="1">
          <reference field="0" count="1" defaultSubtotal="1">
            <x v="3"/>
          </reference>
        </references>
      </pivotArea>
    </format>
    <format dxfId="4">
      <pivotArea dataOnly="0" labelOnly="1" outline="0" fieldPosition="0">
        <references count="2">
          <reference field="0" count="1" selected="0">
            <x v="3"/>
          </reference>
          <reference field="2" count="0"/>
        </references>
      </pivotArea>
    </format>
    <format dxfId="3">
      <pivotArea dataOnly="0" labelOnly="1" outline="0" fieldPosition="0">
        <references count="2">
          <reference field="0" count="1" selected="0">
            <x v="5"/>
          </reference>
          <reference field="2" count="2">
            <x v="4"/>
            <x v="6"/>
          </reference>
        </references>
      </pivotArea>
    </format>
    <format dxfId="2">
      <pivotArea dataOnly="0" labelOnly="1" grandCol="1" outline="0" fieldPosition="0"/>
    </format>
    <format dxfId="1">
      <pivotArea dataOnly="0" labelOnly="1" outline="0" fieldPosition="0">
        <references count="1">
          <reference field="12" count="0"/>
        </references>
      </pivotArea>
    </format>
    <format dxfId="0">
      <pivotArea dataOnly="0" labelOnly="1" outline="0" fieldPosition="0">
        <references count="1">
          <reference field="12" count="0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zoomScale="200" zoomScaleNormal="200" workbookViewId="0">
      <selection activeCell="A9" sqref="A9:E15"/>
    </sheetView>
  </sheetViews>
  <sheetFormatPr defaultColWidth="9.109375" defaultRowHeight="11.4" x14ac:dyDescent="0.2"/>
  <cols>
    <col min="1" max="2" width="25.88671875" style="38" customWidth="1"/>
    <col min="3" max="3" width="25" style="38" customWidth="1"/>
    <col min="4" max="4" width="25.88671875" style="38" customWidth="1"/>
    <col min="5" max="5" width="34.88671875" style="38" customWidth="1"/>
    <col min="6" max="14" width="40.88671875" style="38" customWidth="1"/>
    <col min="15" max="15" width="9.109375" style="38" customWidth="1"/>
    <col min="16" max="16384" width="9.109375" style="38"/>
  </cols>
  <sheetData>
    <row r="1" spans="1:6" ht="14.1" customHeight="1" thickBot="1" x14ac:dyDescent="0.3">
      <c r="A1" s="34" t="s">
        <v>0</v>
      </c>
      <c r="B1" s="35"/>
      <c r="C1" s="36"/>
      <c r="D1" s="36"/>
      <c r="E1" s="37"/>
    </row>
    <row r="2" spans="1:6" ht="14.1" customHeight="1" thickBot="1" x14ac:dyDescent="0.3">
      <c r="A2" s="39" t="s">
        <v>1</v>
      </c>
      <c r="B2" s="99"/>
      <c r="C2" s="100"/>
      <c r="D2" s="84"/>
      <c r="E2" s="40"/>
    </row>
    <row r="3" spans="1:6" ht="12" customHeight="1" x14ac:dyDescent="0.25">
      <c r="A3" s="39" t="s">
        <v>2</v>
      </c>
      <c r="B3" s="101" t="s">
        <v>3</v>
      </c>
      <c r="C3" s="102"/>
      <c r="D3" s="102"/>
      <c r="E3" s="103"/>
    </row>
    <row r="4" spans="1:6" ht="13.2" x14ac:dyDescent="0.25">
      <c r="A4" s="39" t="s">
        <v>4</v>
      </c>
      <c r="B4" s="101" t="s">
        <v>5</v>
      </c>
      <c r="C4" s="102"/>
      <c r="D4" s="102"/>
      <c r="E4" s="103"/>
    </row>
    <row r="5" spans="1:6" ht="12" customHeight="1" x14ac:dyDescent="0.2">
      <c r="A5" s="104" t="s">
        <v>6</v>
      </c>
      <c r="B5" s="109"/>
      <c r="C5" s="91"/>
      <c r="D5" s="91"/>
      <c r="E5" s="97"/>
    </row>
    <row r="6" spans="1:6" ht="14.1" customHeight="1" thickBot="1" x14ac:dyDescent="0.25">
      <c r="A6" s="105"/>
      <c r="B6" s="110"/>
      <c r="C6" s="110"/>
      <c r="D6" s="110"/>
      <c r="E6" s="111"/>
    </row>
    <row r="7" spans="1:6" ht="12.75" customHeight="1" thickBot="1" x14ac:dyDescent="0.25">
      <c r="A7" s="41"/>
      <c r="E7" s="42"/>
    </row>
    <row r="8" spans="1:6" ht="12.75" customHeight="1" thickBot="1" x14ac:dyDescent="0.3">
      <c r="A8" s="104" t="s">
        <v>7</v>
      </c>
      <c r="B8" s="107"/>
      <c r="C8" s="107"/>
      <c r="D8" s="107"/>
      <c r="E8" s="108"/>
    </row>
    <row r="9" spans="1:6" ht="12.75" customHeight="1" x14ac:dyDescent="0.2">
      <c r="A9" s="93" t="s">
        <v>8</v>
      </c>
      <c r="B9" s="94"/>
      <c r="C9" s="94"/>
      <c r="D9" s="94"/>
      <c r="E9" s="95"/>
    </row>
    <row r="10" spans="1:6" ht="12.75" customHeight="1" x14ac:dyDescent="0.2">
      <c r="A10" s="96"/>
      <c r="B10" s="91"/>
      <c r="C10" s="91"/>
      <c r="D10" s="91"/>
      <c r="E10" s="97"/>
    </row>
    <row r="11" spans="1:6" ht="12.75" customHeight="1" x14ac:dyDescent="0.2">
      <c r="A11" s="96"/>
      <c r="B11" s="91"/>
      <c r="C11" s="91"/>
      <c r="D11" s="91"/>
      <c r="E11" s="97"/>
    </row>
    <row r="12" spans="1:6" ht="12.75" customHeight="1" x14ac:dyDescent="0.2">
      <c r="A12" s="96"/>
      <c r="B12" s="91"/>
      <c r="C12" s="91"/>
      <c r="D12" s="91"/>
      <c r="E12" s="97"/>
      <c r="F12" s="38" t="s">
        <v>9</v>
      </c>
    </row>
    <row r="13" spans="1:6" ht="12.75" customHeight="1" x14ac:dyDescent="0.2">
      <c r="A13" s="96"/>
      <c r="B13" s="91"/>
      <c r="C13" s="91"/>
      <c r="D13" s="91"/>
      <c r="E13" s="97"/>
    </row>
    <row r="14" spans="1:6" ht="12.75" customHeight="1" x14ac:dyDescent="0.2">
      <c r="A14" s="96"/>
      <c r="B14" s="91"/>
      <c r="C14" s="91"/>
      <c r="D14" s="91"/>
      <c r="E14" s="97"/>
    </row>
    <row r="15" spans="1:6" ht="12.75" customHeight="1" thickBot="1" x14ac:dyDescent="0.25">
      <c r="A15" s="96"/>
      <c r="B15" s="91"/>
      <c r="C15" s="91"/>
      <c r="D15" s="91"/>
      <c r="E15" s="97"/>
    </row>
    <row r="16" spans="1:6" ht="12.75" customHeight="1" thickBot="1" x14ac:dyDescent="0.25">
      <c r="A16" s="43" t="s">
        <v>10</v>
      </c>
      <c r="B16" s="44" t="s">
        <v>11</v>
      </c>
      <c r="C16" s="44" t="s">
        <v>12</v>
      </c>
      <c r="D16" s="44" t="s">
        <v>13</v>
      </c>
      <c r="E16" s="45"/>
    </row>
    <row r="17" spans="1:5" x14ac:dyDescent="0.2">
      <c r="A17" s="63"/>
      <c r="B17" s="88"/>
      <c r="C17" s="83"/>
      <c r="D17" s="98"/>
      <c r="E17" s="95"/>
    </row>
    <row r="18" spans="1:5" ht="12" x14ac:dyDescent="0.25">
      <c r="A18" s="61"/>
      <c r="B18" s="83"/>
      <c r="C18" s="83"/>
      <c r="D18" s="96"/>
      <c r="E18" s="97"/>
    </row>
    <row r="19" spans="1:5" ht="12" x14ac:dyDescent="0.25">
      <c r="A19" s="62"/>
      <c r="B19" s="83"/>
      <c r="C19" s="83"/>
      <c r="D19" s="96"/>
      <c r="E19" s="97"/>
    </row>
    <row r="20" spans="1:5" x14ac:dyDescent="0.2">
      <c r="B20" s="83"/>
      <c r="C20" s="83"/>
      <c r="D20" s="96"/>
      <c r="E20" s="97"/>
    </row>
    <row r="21" spans="1:5" x14ac:dyDescent="0.2">
      <c r="B21" s="46"/>
      <c r="C21" s="83"/>
      <c r="D21" s="96"/>
      <c r="E21" s="97"/>
    </row>
    <row r="22" spans="1:5" x14ac:dyDescent="0.2">
      <c r="A22" s="87"/>
      <c r="B22" s="88"/>
      <c r="C22" s="83"/>
      <c r="D22" s="96"/>
      <c r="E22" s="97"/>
    </row>
    <row r="23" spans="1:5" x14ac:dyDescent="0.2">
      <c r="A23" s="87"/>
      <c r="B23" s="88"/>
      <c r="C23" s="83"/>
      <c r="D23" s="96"/>
      <c r="E23" s="97"/>
    </row>
    <row r="24" spans="1:5" ht="12.75" customHeight="1" thickBot="1" x14ac:dyDescent="0.25">
      <c r="A24" s="47"/>
      <c r="D24" s="96"/>
      <c r="E24" s="97"/>
    </row>
    <row r="25" spans="1:5" ht="12.75" customHeight="1" thickBot="1" x14ac:dyDescent="0.25">
      <c r="A25" s="43" t="s">
        <v>14</v>
      </c>
      <c r="B25" s="44"/>
      <c r="C25" s="44"/>
      <c r="D25" s="44"/>
      <c r="E25" s="45"/>
    </row>
    <row r="26" spans="1:5" ht="12" customHeight="1" x14ac:dyDescent="0.2">
      <c r="A26" s="90"/>
      <c r="B26" s="91"/>
      <c r="C26" s="91"/>
      <c r="D26" s="91"/>
      <c r="E26" s="42"/>
    </row>
    <row r="27" spans="1:5" x14ac:dyDescent="0.2">
      <c r="A27" s="90"/>
      <c r="B27" s="91"/>
      <c r="C27" s="91"/>
      <c r="D27" s="91"/>
      <c r="E27" s="42"/>
    </row>
    <row r="28" spans="1:5" x14ac:dyDescent="0.2">
      <c r="A28" s="90"/>
      <c r="B28" s="91"/>
      <c r="C28" s="91"/>
      <c r="D28" s="91"/>
      <c r="E28" s="42"/>
    </row>
    <row r="29" spans="1:5" x14ac:dyDescent="0.2">
      <c r="A29" s="90"/>
      <c r="B29" s="91"/>
      <c r="C29" s="91"/>
      <c r="D29" s="91"/>
      <c r="E29" s="42"/>
    </row>
    <row r="30" spans="1:5" ht="12.75" customHeight="1" thickBot="1" x14ac:dyDescent="0.25">
      <c r="A30" s="47"/>
      <c r="E30" s="42"/>
    </row>
    <row r="31" spans="1:5" ht="12.75" customHeight="1" thickBot="1" x14ac:dyDescent="0.25">
      <c r="A31" s="43" t="s">
        <v>15</v>
      </c>
      <c r="B31" s="44"/>
      <c r="C31" s="44"/>
      <c r="D31" s="44"/>
      <c r="E31" s="45"/>
    </row>
    <row r="32" spans="1:5" x14ac:dyDescent="0.2">
      <c r="A32" s="90" t="s">
        <v>16</v>
      </c>
      <c r="B32" s="91"/>
      <c r="C32" s="91"/>
      <c r="D32" s="91"/>
      <c r="E32" s="42"/>
    </row>
    <row r="33" spans="1:5" x14ac:dyDescent="0.2">
      <c r="A33" s="90" t="s">
        <v>17</v>
      </c>
      <c r="B33" s="91"/>
      <c r="C33" s="91"/>
      <c r="D33" s="91"/>
      <c r="E33" s="42"/>
    </row>
    <row r="34" spans="1:5" x14ac:dyDescent="0.2">
      <c r="A34" s="90" t="s">
        <v>18</v>
      </c>
      <c r="B34" s="91"/>
      <c r="C34" s="91"/>
      <c r="D34" s="91"/>
      <c r="E34" s="42"/>
    </row>
    <row r="35" spans="1:5" ht="12.75" customHeight="1" x14ac:dyDescent="0.2">
      <c r="A35" s="90" t="s">
        <v>19</v>
      </c>
      <c r="B35" s="91"/>
      <c r="C35" s="91"/>
      <c r="D35" s="91"/>
      <c r="E35" s="48"/>
    </row>
    <row r="36" spans="1:5" x14ac:dyDescent="0.2">
      <c r="A36" s="92"/>
      <c r="B36" s="91"/>
      <c r="C36" s="106"/>
      <c r="D36" s="91"/>
      <c r="E36" s="42"/>
    </row>
    <row r="37" spans="1:5" x14ac:dyDescent="0.2">
      <c r="A37" s="92"/>
      <c r="B37" s="91"/>
      <c r="C37" s="106"/>
      <c r="D37" s="91"/>
      <c r="E37" s="42"/>
    </row>
    <row r="38" spans="1:5" ht="12.75" customHeight="1" thickBot="1" x14ac:dyDescent="0.25">
      <c r="A38" s="49" t="s">
        <v>20</v>
      </c>
      <c r="E38" s="42"/>
    </row>
    <row r="39" spans="1:5" ht="12.75" customHeight="1" thickBot="1" x14ac:dyDescent="0.25">
      <c r="A39" s="50" t="s">
        <v>21</v>
      </c>
      <c r="B39" s="51" t="s">
        <v>22</v>
      </c>
      <c r="C39" s="51" t="s">
        <v>23</v>
      </c>
      <c r="D39" s="51" t="s">
        <v>13</v>
      </c>
      <c r="E39" s="45"/>
    </row>
    <row r="40" spans="1:5" x14ac:dyDescent="0.2">
      <c r="A40" s="85"/>
      <c r="B40" s="86"/>
      <c r="C40" s="86"/>
      <c r="D40" s="86"/>
      <c r="E40" s="52"/>
    </row>
    <row r="41" spans="1:5" ht="12.75" customHeight="1" thickBot="1" x14ac:dyDescent="0.25">
      <c r="A41" s="53"/>
      <c r="B41" s="54"/>
      <c r="C41" s="54"/>
      <c r="D41" s="54"/>
      <c r="E41" s="55"/>
    </row>
    <row r="43" spans="1:5" ht="12.75" customHeight="1" x14ac:dyDescent="0.2"/>
    <row r="44" spans="1:5" ht="12.75" customHeight="1" x14ac:dyDescent="0.2"/>
    <row r="45" spans="1:5" ht="12" customHeight="1" x14ac:dyDescent="0.2"/>
    <row r="47" spans="1:5" ht="15" customHeight="1" x14ac:dyDescent="0.25">
      <c r="A47" s="56"/>
      <c r="B47" s="57"/>
      <c r="C47" s="57"/>
      <c r="D47" s="57"/>
    </row>
    <row r="48" spans="1:5" ht="12.75" customHeight="1" x14ac:dyDescent="0.25">
      <c r="A48" s="56"/>
      <c r="B48" s="57"/>
      <c r="C48" s="57"/>
      <c r="D48" s="57"/>
    </row>
    <row r="49" spans="1:5" ht="12.75" customHeight="1" x14ac:dyDescent="0.25">
      <c r="A49" s="58"/>
      <c r="B49" s="59"/>
      <c r="C49" s="60"/>
      <c r="D49" s="59"/>
      <c r="E49" s="59"/>
    </row>
    <row r="50" spans="1:5" ht="12.75" customHeight="1" x14ac:dyDescent="0.25">
      <c r="A50" s="57"/>
      <c r="B50" s="57"/>
      <c r="C50" s="57"/>
      <c r="D50" s="57"/>
    </row>
    <row r="51" spans="1:5" ht="12.75" customHeight="1" x14ac:dyDescent="0.25">
      <c r="A51" s="57"/>
      <c r="B51" s="57"/>
      <c r="C51" s="57"/>
      <c r="D51" s="57"/>
    </row>
    <row r="52" spans="1:5" ht="12.75" customHeight="1" x14ac:dyDescent="0.25">
      <c r="A52" s="57"/>
      <c r="B52" s="57"/>
      <c r="C52" s="57"/>
      <c r="D52" s="57"/>
    </row>
    <row r="53" spans="1:5" ht="12.75" customHeight="1" x14ac:dyDescent="0.25">
      <c r="A53" s="57"/>
      <c r="B53" s="57"/>
      <c r="C53" s="57"/>
      <c r="D53" s="57"/>
    </row>
    <row r="54" spans="1:5" ht="12.75" customHeight="1" x14ac:dyDescent="0.25">
      <c r="A54" s="57"/>
      <c r="B54" s="57"/>
      <c r="C54" s="57"/>
      <c r="D54" s="57"/>
    </row>
    <row r="55" spans="1:5" ht="15" customHeight="1" x14ac:dyDescent="0.25">
      <c r="A55" s="56"/>
      <c r="B55" s="57"/>
      <c r="C55" s="57"/>
      <c r="D55" s="57"/>
    </row>
    <row r="56" spans="1:5" ht="15" customHeight="1" x14ac:dyDescent="0.25">
      <c r="A56" s="56"/>
      <c r="B56" s="57"/>
      <c r="C56" s="57"/>
      <c r="D56" s="57"/>
    </row>
    <row r="57" spans="1:5" ht="12.75" customHeight="1" x14ac:dyDescent="0.25">
      <c r="A57" s="57"/>
      <c r="B57" s="57"/>
      <c r="C57" s="57"/>
      <c r="D57" s="57"/>
      <c r="E57" s="57"/>
    </row>
    <row r="58" spans="1:5" ht="12.75" customHeight="1" x14ac:dyDescent="0.25">
      <c r="A58" s="57"/>
      <c r="B58" s="57"/>
      <c r="C58" s="57"/>
      <c r="D58" s="57"/>
      <c r="E58" s="57"/>
    </row>
    <row r="59" spans="1:5" ht="12.75" customHeight="1" x14ac:dyDescent="0.25">
      <c r="A59" s="57"/>
      <c r="B59" s="57"/>
      <c r="C59" s="57"/>
      <c r="D59" s="57"/>
      <c r="E59" s="57"/>
    </row>
    <row r="60" spans="1:5" ht="12.75" customHeight="1" x14ac:dyDescent="0.25">
      <c r="A60" s="57"/>
      <c r="B60" s="57"/>
      <c r="C60" s="57"/>
      <c r="D60" s="57"/>
      <c r="E60" s="57"/>
    </row>
    <row r="61" spans="1:5" ht="12.75" customHeight="1" x14ac:dyDescent="0.25">
      <c r="A61" s="57"/>
      <c r="B61" s="57"/>
      <c r="C61" s="57"/>
      <c r="D61" s="57"/>
      <c r="E61" s="57"/>
    </row>
    <row r="62" spans="1:5" ht="12.75" customHeight="1" x14ac:dyDescent="0.25">
      <c r="A62" s="57"/>
      <c r="B62" s="57"/>
      <c r="C62" s="57"/>
      <c r="D62" s="57"/>
      <c r="E62" s="57"/>
    </row>
    <row r="63" spans="1:5" ht="12.75" customHeight="1" x14ac:dyDescent="0.25">
      <c r="A63" s="57"/>
      <c r="B63" s="57"/>
      <c r="C63" s="57"/>
      <c r="D63" s="57"/>
      <c r="E63" s="57"/>
    </row>
    <row r="64" spans="1:5" ht="12.75" customHeight="1" x14ac:dyDescent="0.25">
      <c r="A64" s="57"/>
      <c r="B64" s="57"/>
      <c r="C64" s="57"/>
      <c r="D64" s="57"/>
      <c r="E64" s="57"/>
    </row>
    <row r="65" spans="1:5" ht="12.75" customHeight="1" x14ac:dyDescent="0.25">
      <c r="A65" s="57"/>
      <c r="B65" s="57"/>
      <c r="C65" s="57"/>
      <c r="D65" s="57"/>
      <c r="E65" s="57"/>
    </row>
    <row r="66" spans="1:5" ht="12.75" customHeight="1" x14ac:dyDescent="0.25">
      <c r="A66" s="57"/>
      <c r="B66" s="57"/>
      <c r="C66" s="57"/>
      <c r="D66" s="57"/>
      <c r="E66" s="57"/>
    </row>
    <row r="67" spans="1:5" ht="12.75" customHeight="1" x14ac:dyDescent="0.25">
      <c r="A67" s="57"/>
      <c r="B67" s="57"/>
      <c r="C67" s="57"/>
      <c r="D67" s="57"/>
      <c r="E67" s="57"/>
    </row>
    <row r="68" spans="1:5" ht="12.75" customHeight="1" x14ac:dyDescent="0.25">
      <c r="A68" s="57"/>
      <c r="B68" s="57"/>
      <c r="C68" s="57"/>
      <c r="D68" s="57"/>
      <c r="E68" s="57"/>
    </row>
    <row r="69" spans="1:5" ht="12.75" customHeight="1" x14ac:dyDescent="0.25">
      <c r="A69" s="57"/>
      <c r="B69" s="57"/>
      <c r="C69" s="57"/>
      <c r="D69" s="57"/>
      <c r="E69" s="57"/>
    </row>
    <row r="70" spans="1:5" ht="12.75" customHeight="1" x14ac:dyDescent="0.25">
      <c r="A70" s="57"/>
      <c r="B70" s="57"/>
      <c r="C70" s="57"/>
      <c r="D70" s="57"/>
      <c r="E70" s="57"/>
    </row>
  </sheetData>
  <mergeCells count="20"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  <mergeCell ref="A35:D35"/>
    <mergeCell ref="A29:D29"/>
    <mergeCell ref="A36:B36"/>
    <mergeCell ref="A28:D28"/>
    <mergeCell ref="A9:E15"/>
    <mergeCell ref="D17:E24"/>
  </mergeCells>
  <dataValidations count="1">
    <dataValidation type="list" allowBlank="1" showInputMessage="1" showErrorMessage="1" sqref="D2:E2">
      <formula1>"R4-Cycle 1,R4-Cycle 2,R4-Cycle 3,R4-Cycle 4,R4-Regression Test,R4-Business Simulation"</formula1>
    </dataValidation>
  </dataValidations>
  <pageMargins left="0.75" right="0.75" top="1" bottom="1" header="0.5" footer="0.5"/>
  <pageSetup scale="6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Q26"/>
  <sheetViews>
    <sheetView tabSelected="1" topLeftCell="B1" zoomScale="70" zoomScaleNormal="70" workbookViewId="0">
      <pane xSplit="6" ySplit="2" topLeftCell="H3" activePane="bottomRight" state="frozen"/>
      <selection pane="topRight"/>
      <selection pane="bottomLeft"/>
      <selection pane="bottomRight" activeCell="F11" sqref="F11"/>
    </sheetView>
  </sheetViews>
  <sheetFormatPr defaultColWidth="35.6640625" defaultRowHeight="18" x14ac:dyDescent="0.25"/>
  <cols>
    <col min="1" max="1" width="10.33203125" style="80" customWidth="1"/>
    <col min="2" max="2" width="18.6640625" style="80" customWidth="1"/>
    <col min="3" max="3" width="10.33203125" style="65" customWidth="1"/>
    <col min="4" max="4" width="15.6640625" style="65" bestFit="1" customWidth="1"/>
    <col min="5" max="5" width="14" style="80" customWidth="1"/>
    <col min="6" max="6" width="80.44140625" style="81" customWidth="1"/>
    <col min="7" max="7" width="14.109375" style="81" customWidth="1"/>
    <col min="8" max="8" width="62.44140625" style="65" customWidth="1"/>
    <col min="9" max="9" width="46.44140625" style="65" customWidth="1"/>
    <col min="10" max="10" width="15.88671875" style="65" customWidth="1"/>
    <col min="11" max="11" width="25.33203125" style="65" bestFit="1" customWidth="1"/>
    <col min="12" max="12" width="18.88671875" style="80" customWidth="1"/>
    <col min="13" max="13" width="18.6640625" style="65" customWidth="1"/>
    <col min="14" max="14" width="17.44140625" style="65" customWidth="1"/>
    <col min="15" max="15" width="16.44140625" style="81" customWidth="1"/>
    <col min="16" max="16" width="13.33203125" style="81" customWidth="1"/>
    <col min="17" max="17" width="37.109375" style="65" bestFit="1" customWidth="1"/>
    <col min="18" max="18" width="9.109375" style="65" customWidth="1"/>
    <col min="19" max="19" width="35.6640625" style="65" customWidth="1"/>
    <col min="20" max="16384" width="35.6640625" style="65"/>
  </cols>
  <sheetData>
    <row r="1" spans="1:17" x14ac:dyDescent="0.25">
      <c r="A1" s="112" t="s">
        <v>24</v>
      </c>
      <c r="B1" s="89"/>
      <c r="C1" s="112" t="s">
        <v>25</v>
      </c>
      <c r="D1" s="89"/>
      <c r="E1" s="112" t="s">
        <v>26</v>
      </c>
      <c r="F1" s="112" t="s">
        <v>27</v>
      </c>
      <c r="G1" s="112" t="s">
        <v>28</v>
      </c>
      <c r="H1" s="112" t="s">
        <v>29</v>
      </c>
      <c r="I1" s="112" t="s">
        <v>30</v>
      </c>
      <c r="J1" s="114" t="s">
        <v>31</v>
      </c>
      <c r="K1" s="112" t="s">
        <v>32</v>
      </c>
      <c r="L1" s="89" t="s">
        <v>33</v>
      </c>
      <c r="M1" s="112" t="s">
        <v>34</v>
      </c>
      <c r="N1" s="112" t="s">
        <v>35</v>
      </c>
      <c r="O1" s="112" t="s">
        <v>36</v>
      </c>
      <c r="P1" s="116" t="s">
        <v>37</v>
      </c>
      <c r="Q1" s="112" t="s">
        <v>13</v>
      </c>
    </row>
    <row r="2" spans="1:17" x14ac:dyDescent="0.25">
      <c r="A2" s="113"/>
      <c r="B2" s="89"/>
      <c r="C2" s="113"/>
      <c r="D2" s="66"/>
      <c r="E2" s="113"/>
      <c r="F2" s="113"/>
      <c r="G2" s="113"/>
      <c r="H2" s="113"/>
      <c r="I2" s="113"/>
      <c r="J2" s="115"/>
      <c r="K2" s="113"/>
      <c r="L2" s="66" t="s">
        <v>38</v>
      </c>
      <c r="M2" s="113"/>
      <c r="N2" s="113"/>
      <c r="O2" s="113"/>
      <c r="P2" s="117"/>
      <c r="Q2" s="113"/>
    </row>
    <row r="3" spans="1:17" x14ac:dyDescent="0.25">
      <c r="A3" s="67"/>
      <c r="B3" s="67" t="s">
        <v>39</v>
      </c>
      <c r="C3" s="67"/>
      <c r="D3" s="67" t="s">
        <v>40</v>
      </c>
      <c r="E3" s="67"/>
      <c r="F3" s="68"/>
      <c r="G3" s="69"/>
      <c r="H3" s="69"/>
      <c r="I3" s="69"/>
      <c r="J3" s="69"/>
      <c r="K3" s="67"/>
      <c r="L3" s="67"/>
      <c r="M3" s="67"/>
      <c r="N3" s="67"/>
      <c r="O3" s="70"/>
      <c r="P3" s="70"/>
      <c r="Q3" s="67"/>
    </row>
    <row r="4" spans="1:17" s="74" customFormat="1" ht="37.5" customHeight="1" x14ac:dyDescent="0.25">
      <c r="A4" s="64" t="s">
        <v>41</v>
      </c>
      <c r="B4" s="64" t="s">
        <v>3</v>
      </c>
      <c r="C4" s="64">
        <f t="shared" ref="C4:C26" si="0">ROW(A4)-3</f>
        <v>1</v>
      </c>
      <c r="D4" s="64" t="s">
        <v>42</v>
      </c>
      <c r="E4" s="64" t="s">
        <v>43</v>
      </c>
      <c r="F4" s="64" t="s">
        <v>44</v>
      </c>
      <c r="G4" s="64"/>
      <c r="H4" s="71" t="s">
        <v>45</v>
      </c>
      <c r="I4" s="72" t="s">
        <v>46</v>
      </c>
      <c r="J4" s="73" t="b">
        <v>0</v>
      </c>
      <c r="K4" s="64"/>
      <c r="L4" s="64"/>
      <c r="M4" s="64"/>
      <c r="N4" s="64"/>
      <c r="O4" s="64"/>
      <c r="P4" s="64"/>
      <c r="Q4" s="64"/>
    </row>
    <row r="5" spans="1:17" s="74" customFormat="1" ht="65.25" customHeight="1" x14ac:dyDescent="0.25">
      <c r="A5" s="64"/>
      <c r="B5" s="64"/>
      <c r="C5" s="64">
        <f t="shared" si="0"/>
        <v>2</v>
      </c>
      <c r="D5" s="64" t="s">
        <v>47</v>
      </c>
      <c r="E5" s="64" t="s">
        <v>43</v>
      </c>
      <c r="F5" s="64" t="s">
        <v>48</v>
      </c>
      <c r="G5" s="64"/>
      <c r="H5" s="71" t="s">
        <v>49</v>
      </c>
      <c r="I5" s="64" t="s">
        <v>50</v>
      </c>
      <c r="J5" s="73" t="b">
        <v>0</v>
      </c>
      <c r="K5" s="64"/>
      <c r="L5" s="64"/>
      <c r="M5" s="64"/>
      <c r="N5" s="64"/>
      <c r="O5" s="64"/>
      <c r="P5" s="64"/>
      <c r="Q5" s="64"/>
    </row>
    <row r="6" spans="1:17" s="74" customFormat="1" ht="33.75" customHeight="1" x14ac:dyDescent="0.25">
      <c r="A6" s="64"/>
      <c r="B6" s="64"/>
      <c r="C6" s="64">
        <f t="shared" si="0"/>
        <v>3</v>
      </c>
      <c r="D6" s="64" t="s">
        <v>47</v>
      </c>
      <c r="E6" s="64" t="s">
        <v>43</v>
      </c>
      <c r="F6" s="64" t="s">
        <v>51</v>
      </c>
      <c r="G6" s="64"/>
      <c r="H6" s="71"/>
      <c r="I6" s="64"/>
      <c r="J6" s="73" t="b">
        <v>0</v>
      </c>
      <c r="K6" s="64"/>
      <c r="L6" s="64"/>
      <c r="M6" s="64"/>
      <c r="N6" s="64"/>
      <c r="O6" s="64"/>
      <c r="P6" s="64"/>
      <c r="Q6" s="64"/>
    </row>
    <row r="7" spans="1:17" s="74" customFormat="1" ht="37.5" customHeight="1" x14ac:dyDescent="0.25">
      <c r="A7" s="64"/>
      <c r="B7" s="64"/>
      <c r="C7" s="64">
        <f t="shared" si="0"/>
        <v>4</v>
      </c>
      <c r="D7" s="64" t="s">
        <v>47</v>
      </c>
      <c r="E7" s="64" t="s">
        <v>43</v>
      </c>
      <c r="F7" s="64" t="s">
        <v>52</v>
      </c>
      <c r="G7" s="64"/>
      <c r="H7" s="71" t="s">
        <v>53</v>
      </c>
      <c r="I7" s="64" t="s">
        <v>54</v>
      </c>
      <c r="J7" s="73" t="b">
        <v>0</v>
      </c>
      <c r="K7" s="64"/>
      <c r="L7" s="64"/>
      <c r="M7" s="64"/>
      <c r="N7" s="64"/>
      <c r="O7" s="64"/>
      <c r="P7" s="64"/>
      <c r="Q7" s="64"/>
    </row>
    <row r="8" spans="1:17" s="74" customFormat="1" ht="39.75" customHeight="1" x14ac:dyDescent="0.25">
      <c r="A8" s="64"/>
      <c r="B8" s="64"/>
      <c r="C8" s="64">
        <f t="shared" si="0"/>
        <v>5</v>
      </c>
      <c r="D8" s="64" t="s">
        <v>47</v>
      </c>
      <c r="E8" s="64" t="s">
        <v>43</v>
      </c>
      <c r="F8" s="64" t="s">
        <v>55</v>
      </c>
      <c r="G8" s="64"/>
      <c r="H8" s="71" t="s">
        <v>56</v>
      </c>
      <c r="I8" s="64" t="s">
        <v>57</v>
      </c>
      <c r="J8" s="73" t="b">
        <v>0</v>
      </c>
      <c r="K8" s="64"/>
      <c r="L8" s="64"/>
      <c r="M8" s="64"/>
      <c r="N8" s="64"/>
      <c r="O8" s="64"/>
      <c r="P8" s="64"/>
      <c r="Q8" s="64"/>
    </row>
    <row r="9" spans="1:17" s="74" customFormat="1" ht="36" customHeight="1" x14ac:dyDescent="0.25">
      <c r="A9" s="64"/>
      <c r="B9" s="64"/>
      <c r="C9" s="64">
        <f t="shared" si="0"/>
        <v>6</v>
      </c>
      <c r="D9" s="64" t="s">
        <v>47</v>
      </c>
      <c r="E9" s="64" t="s">
        <v>43</v>
      </c>
      <c r="F9" s="64" t="s">
        <v>58</v>
      </c>
      <c r="G9" s="64"/>
      <c r="H9" s="64"/>
      <c r="I9" s="64" t="s">
        <v>59</v>
      </c>
      <c r="J9" s="73" t="b">
        <v>0</v>
      </c>
      <c r="K9" s="64"/>
      <c r="L9" s="64"/>
      <c r="M9" s="64"/>
      <c r="N9" s="64"/>
      <c r="O9" s="64"/>
      <c r="P9" s="64"/>
      <c r="Q9" s="64"/>
    </row>
    <row r="10" spans="1:17" s="74" customFormat="1" ht="57" customHeight="1" x14ac:dyDescent="0.25">
      <c r="A10" s="64"/>
      <c r="B10" s="64"/>
      <c r="C10" s="64">
        <f t="shared" si="0"/>
        <v>7</v>
      </c>
      <c r="D10" s="64" t="s">
        <v>47</v>
      </c>
      <c r="E10" s="64" t="s">
        <v>43</v>
      </c>
      <c r="F10" s="64" t="s">
        <v>60</v>
      </c>
      <c r="G10" s="64"/>
      <c r="H10" s="82" t="s">
        <v>9</v>
      </c>
      <c r="I10" s="64" t="s">
        <v>61</v>
      </c>
      <c r="J10" s="73" t="b">
        <v>0</v>
      </c>
      <c r="K10" s="64"/>
      <c r="L10" s="64"/>
      <c r="M10" s="64"/>
      <c r="N10" s="64"/>
      <c r="O10" s="64"/>
      <c r="P10" s="64"/>
      <c r="Q10" s="64"/>
    </row>
    <row r="11" spans="1:17" s="74" customFormat="1" ht="37.5" customHeight="1" x14ac:dyDescent="0.25">
      <c r="A11" s="64"/>
      <c r="B11" s="64"/>
      <c r="C11" s="64">
        <f t="shared" si="0"/>
        <v>8</v>
      </c>
      <c r="D11" s="64" t="s">
        <v>47</v>
      </c>
      <c r="E11" s="64" t="s">
        <v>43</v>
      </c>
      <c r="F11" s="64" t="s">
        <v>62</v>
      </c>
      <c r="G11" s="64"/>
      <c r="H11" s="64"/>
      <c r="I11" s="75" t="s">
        <v>63</v>
      </c>
      <c r="J11" s="73" t="b">
        <v>0</v>
      </c>
      <c r="K11" s="72"/>
      <c r="L11" s="64"/>
      <c r="M11" s="64"/>
      <c r="N11" s="64"/>
      <c r="O11" s="64"/>
      <c r="P11" s="64"/>
      <c r="Q11" s="64"/>
    </row>
    <row r="12" spans="1:17" s="74" customFormat="1" ht="37.5" customHeight="1" x14ac:dyDescent="0.25">
      <c r="A12" s="64"/>
      <c r="B12" s="64"/>
      <c r="C12" s="64">
        <f t="shared" si="0"/>
        <v>9</v>
      </c>
      <c r="D12" s="64" t="s">
        <v>64</v>
      </c>
      <c r="E12" s="64" t="s">
        <v>43</v>
      </c>
      <c r="F12" s="76" t="s">
        <v>65</v>
      </c>
      <c r="G12" s="64"/>
      <c r="H12" s="71" t="s">
        <v>66</v>
      </c>
      <c r="I12" s="64" t="s">
        <v>67</v>
      </c>
      <c r="J12" s="73" t="b">
        <v>0</v>
      </c>
      <c r="K12" s="64"/>
      <c r="L12" s="64"/>
      <c r="M12" s="64"/>
      <c r="N12" s="64"/>
      <c r="O12" s="64"/>
      <c r="P12" s="64"/>
      <c r="Q12" s="64"/>
    </row>
    <row r="13" spans="1:17" s="74" customFormat="1" ht="113.25" customHeight="1" x14ac:dyDescent="0.25">
      <c r="A13" s="64"/>
      <c r="B13" s="64"/>
      <c r="C13" s="64">
        <f t="shared" si="0"/>
        <v>10</v>
      </c>
      <c r="D13" s="64" t="s">
        <v>64</v>
      </c>
      <c r="E13" s="64" t="s">
        <v>43</v>
      </c>
      <c r="F13" s="75" t="s">
        <v>68</v>
      </c>
      <c r="G13" s="64"/>
      <c r="H13" s="64" t="s">
        <v>69</v>
      </c>
      <c r="I13" s="64" t="s">
        <v>70</v>
      </c>
      <c r="J13" s="73" t="b">
        <v>0</v>
      </c>
      <c r="K13" s="64"/>
      <c r="L13" s="64"/>
      <c r="M13" s="64"/>
      <c r="N13" s="64"/>
      <c r="O13" s="64"/>
      <c r="P13" s="64"/>
      <c r="Q13" s="64"/>
    </row>
    <row r="14" spans="1:17" s="74" customFormat="1" ht="113.25" customHeight="1" x14ac:dyDescent="0.25">
      <c r="A14" s="64"/>
      <c r="B14" s="64"/>
      <c r="C14" s="64">
        <f t="shared" si="0"/>
        <v>11</v>
      </c>
      <c r="D14" s="64" t="s">
        <v>71</v>
      </c>
      <c r="E14" s="64" t="s">
        <v>43</v>
      </c>
      <c r="F14" s="64" t="s">
        <v>72</v>
      </c>
      <c r="G14" s="64"/>
      <c r="H14" s="77" t="s">
        <v>73</v>
      </c>
      <c r="I14" s="64" t="s">
        <v>74</v>
      </c>
      <c r="J14" s="73" t="b">
        <v>0</v>
      </c>
      <c r="K14" s="64"/>
      <c r="L14" s="64"/>
      <c r="M14" s="64"/>
      <c r="N14" s="64"/>
      <c r="O14" s="64"/>
      <c r="P14" s="64"/>
      <c r="Q14" s="64"/>
    </row>
    <row r="15" spans="1:17" s="74" customFormat="1" ht="113.25" customHeight="1" x14ac:dyDescent="0.25">
      <c r="A15" s="64"/>
      <c r="B15" s="64"/>
      <c r="C15" s="64">
        <f t="shared" si="0"/>
        <v>12</v>
      </c>
      <c r="D15" s="64" t="s">
        <v>71</v>
      </c>
      <c r="E15" s="64" t="s">
        <v>43</v>
      </c>
      <c r="F15" s="76" t="s">
        <v>75</v>
      </c>
      <c r="G15" s="64"/>
      <c r="H15" s="64" t="s">
        <v>76</v>
      </c>
      <c r="I15" s="64" t="s">
        <v>74</v>
      </c>
      <c r="J15" s="73" t="b">
        <v>0</v>
      </c>
      <c r="K15" s="64"/>
      <c r="L15" s="64"/>
      <c r="M15" s="64"/>
      <c r="N15" s="64"/>
      <c r="O15" s="64"/>
      <c r="P15" s="64"/>
      <c r="Q15" s="64"/>
    </row>
    <row r="16" spans="1:17" s="74" customFormat="1" ht="113.25" customHeight="1" x14ac:dyDescent="0.25">
      <c r="A16" s="64"/>
      <c r="B16" s="64"/>
      <c r="C16" s="64">
        <f t="shared" si="0"/>
        <v>13</v>
      </c>
      <c r="D16" s="64" t="s">
        <v>71</v>
      </c>
      <c r="E16" s="64" t="s">
        <v>43</v>
      </c>
      <c r="F16" s="64" t="s">
        <v>77</v>
      </c>
      <c r="G16" s="64"/>
      <c r="H16" s="64" t="s">
        <v>78</v>
      </c>
      <c r="I16" s="64" t="s">
        <v>74</v>
      </c>
      <c r="J16" s="73" t="b">
        <v>0</v>
      </c>
      <c r="K16" s="64"/>
      <c r="L16" s="64"/>
      <c r="M16" s="64"/>
      <c r="N16" s="64"/>
      <c r="O16" s="64"/>
      <c r="P16" s="64"/>
      <c r="Q16" s="64"/>
    </row>
    <row r="17" spans="1:17" s="74" customFormat="1" ht="151.5" customHeight="1" x14ac:dyDescent="0.25">
      <c r="A17" s="64"/>
      <c r="B17" s="64"/>
      <c r="C17" s="64">
        <f t="shared" si="0"/>
        <v>14</v>
      </c>
      <c r="D17" s="64" t="s">
        <v>71</v>
      </c>
      <c r="E17" s="64" t="s">
        <v>43</v>
      </c>
      <c r="F17" s="76" t="s">
        <v>79</v>
      </c>
      <c r="G17" s="64"/>
      <c r="H17" s="64" t="s">
        <v>80</v>
      </c>
      <c r="I17" s="64" t="s">
        <v>81</v>
      </c>
      <c r="J17" s="73" t="b">
        <v>0</v>
      </c>
      <c r="K17" s="64"/>
      <c r="L17" s="64"/>
      <c r="M17" s="64"/>
      <c r="N17" s="64"/>
      <c r="O17" s="64"/>
      <c r="P17" s="64"/>
      <c r="Q17" s="64"/>
    </row>
    <row r="18" spans="1:17" s="74" customFormat="1" ht="132" customHeight="1" x14ac:dyDescent="0.25">
      <c r="A18" s="64"/>
      <c r="B18" s="64"/>
      <c r="C18" s="64">
        <f t="shared" si="0"/>
        <v>15</v>
      </c>
      <c r="D18" s="64" t="s">
        <v>82</v>
      </c>
      <c r="E18" s="72" t="s">
        <v>43</v>
      </c>
      <c r="F18" s="64" t="s">
        <v>83</v>
      </c>
      <c r="G18" s="64"/>
      <c r="H18" s="64" t="s">
        <v>84</v>
      </c>
      <c r="I18" s="64" t="s">
        <v>85</v>
      </c>
      <c r="J18" s="73" t="b">
        <v>0</v>
      </c>
      <c r="K18" s="64"/>
      <c r="L18" s="64"/>
      <c r="M18" s="64"/>
      <c r="N18" s="64"/>
      <c r="O18" s="64"/>
      <c r="P18" s="64"/>
      <c r="Q18" s="64"/>
    </row>
    <row r="19" spans="1:17" s="74" customFormat="1" ht="75.75" customHeight="1" x14ac:dyDescent="0.25">
      <c r="A19" s="64"/>
      <c r="B19" s="64"/>
      <c r="C19" s="64">
        <f t="shared" si="0"/>
        <v>16</v>
      </c>
      <c r="D19" s="64" t="s">
        <v>82</v>
      </c>
      <c r="E19" s="72" t="s">
        <v>43</v>
      </c>
      <c r="F19" s="64" t="s">
        <v>86</v>
      </c>
      <c r="G19" s="64"/>
      <c r="H19" s="64"/>
      <c r="I19" s="64" t="s">
        <v>87</v>
      </c>
      <c r="J19" s="73" t="b">
        <v>0</v>
      </c>
      <c r="K19" s="64"/>
      <c r="L19" s="64"/>
      <c r="M19" s="64"/>
      <c r="N19" s="64"/>
      <c r="O19" s="64"/>
      <c r="P19" s="64"/>
      <c r="Q19" s="64"/>
    </row>
    <row r="20" spans="1:17" s="74" customFormat="1" ht="57" customHeight="1" x14ac:dyDescent="0.25">
      <c r="A20" s="64"/>
      <c r="B20" s="64"/>
      <c r="C20" s="64">
        <f t="shared" si="0"/>
        <v>17</v>
      </c>
      <c r="D20" s="64" t="s">
        <v>88</v>
      </c>
      <c r="E20" s="72" t="s">
        <v>43</v>
      </c>
      <c r="F20" s="64" t="s">
        <v>89</v>
      </c>
      <c r="G20" s="64"/>
      <c r="H20" s="64"/>
      <c r="I20" s="64" t="s">
        <v>90</v>
      </c>
      <c r="J20" s="73" t="b">
        <v>0</v>
      </c>
      <c r="K20" s="64"/>
      <c r="L20" s="64"/>
      <c r="M20" s="64"/>
      <c r="N20" s="64"/>
      <c r="O20" s="64"/>
      <c r="P20" s="64"/>
      <c r="Q20" s="64"/>
    </row>
    <row r="21" spans="1:17" s="74" customFormat="1" ht="57" customHeight="1" x14ac:dyDescent="0.25">
      <c r="A21" s="64"/>
      <c r="B21" s="64"/>
      <c r="C21" s="64">
        <f t="shared" si="0"/>
        <v>18</v>
      </c>
      <c r="D21" s="64" t="s">
        <v>88</v>
      </c>
      <c r="E21" s="72" t="s">
        <v>43</v>
      </c>
      <c r="F21" s="64" t="s">
        <v>91</v>
      </c>
      <c r="G21" s="64"/>
      <c r="H21" s="64"/>
      <c r="I21" s="64" t="s">
        <v>92</v>
      </c>
      <c r="J21" s="73" t="b">
        <v>0</v>
      </c>
      <c r="K21" s="64"/>
      <c r="L21" s="64"/>
      <c r="M21" s="64"/>
      <c r="N21" s="64"/>
      <c r="O21" s="64"/>
      <c r="P21" s="64"/>
      <c r="Q21" s="64"/>
    </row>
    <row r="22" spans="1:17" s="74" customFormat="1" ht="57" customHeight="1" x14ac:dyDescent="0.25">
      <c r="A22" s="64"/>
      <c r="B22" s="64"/>
      <c r="C22" s="64">
        <f t="shared" si="0"/>
        <v>19</v>
      </c>
      <c r="D22" s="64" t="s">
        <v>88</v>
      </c>
      <c r="E22" s="72" t="s">
        <v>43</v>
      </c>
      <c r="F22" s="64" t="s">
        <v>93</v>
      </c>
      <c r="G22" s="64"/>
      <c r="H22" s="64" t="s">
        <v>94</v>
      </c>
      <c r="I22" s="64"/>
      <c r="J22" s="73" t="b">
        <v>0</v>
      </c>
      <c r="K22" s="64"/>
      <c r="L22" s="64"/>
      <c r="M22" s="64"/>
      <c r="N22" s="64"/>
      <c r="O22" s="64"/>
      <c r="P22" s="64"/>
      <c r="Q22" s="64"/>
    </row>
    <row r="23" spans="1:17" s="74" customFormat="1" ht="57" customHeight="1" x14ac:dyDescent="0.25">
      <c r="A23" s="64"/>
      <c r="B23" s="64"/>
      <c r="C23" s="64">
        <f t="shared" si="0"/>
        <v>20</v>
      </c>
      <c r="D23" s="64" t="s">
        <v>88</v>
      </c>
      <c r="E23" s="72" t="s">
        <v>43</v>
      </c>
      <c r="F23" s="64" t="s">
        <v>95</v>
      </c>
      <c r="G23" s="64"/>
      <c r="H23" s="64"/>
      <c r="I23" s="64" t="s">
        <v>96</v>
      </c>
      <c r="J23" s="73" t="b">
        <v>0</v>
      </c>
      <c r="K23" s="64"/>
      <c r="L23" s="64"/>
      <c r="M23" s="64"/>
      <c r="N23" s="64"/>
      <c r="O23" s="64"/>
      <c r="P23" s="64"/>
      <c r="Q23" s="64"/>
    </row>
    <row r="24" spans="1:17" s="74" customFormat="1" ht="37.5" customHeight="1" x14ac:dyDescent="0.35">
      <c r="A24" s="64"/>
      <c r="B24" s="64"/>
      <c r="C24" s="64">
        <f t="shared" si="0"/>
        <v>21</v>
      </c>
      <c r="D24" s="64" t="s">
        <v>97</v>
      </c>
      <c r="E24" s="64" t="s">
        <v>43</v>
      </c>
      <c r="F24" s="78" t="s">
        <v>98</v>
      </c>
      <c r="G24" s="79"/>
      <c r="H24" s="79" t="s">
        <v>99</v>
      </c>
      <c r="I24" s="79" t="s">
        <v>100</v>
      </c>
      <c r="J24" s="73" t="b">
        <v>0</v>
      </c>
      <c r="K24" s="64"/>
      <c r="L24" s="64"/>
      <c r="M24" s="64"/>
      <c r="N24" s="64"/>
      <c r="O24" s="64"/>
      <c r="P24" s="64"/>
      <c r="Q24" s="64"/>
    </row>
    <row r="25" spans="1:17" s="74" customFormat="1" ht="37.5" customHeight="1" x14ac:dyDescent="0.35">
      <c r="A25" s="64"/>
      <c r="B25" s="64"/>
      <c r="C25" s="64">
        <f t="shared" si="0"/>
        <v>22</v>
      </c>
      <c r="D25" s="64" t="s">
        <v>101</v>
      </c>
      <c r="E25" s="64" t="s">
        <v>43</v>
      </c>
      <c r="F25" s="78" t="s">
        <v>102</v>
      </c>
      <c r="G25" s="79"/>
      <c r="H25" s="79"/>
      <c r="I25" s="79" t="s">
        <v>103</v>
      </c>
      <c r="J25" s="73" t="b">
        <v>0</v>
      </c>
      <c r="K25" s="64"/>
      <c r="L25" s="64"/>
      <c r="M25" s="64"/>
      <c r="N25" s="64"/>
      <c r="O25" s="64"/>
      <c r="P25" s="64"/>
      <c r="Q25" s="64"/>
    </row>
    <row r="26" spans="1:17" s="74" customFormat="1" ht="57" customHeight="1" x14ac:dyDescent="0.35">
      <c r="A26" s="64"/>
      <c r="B26" s="64"/>
      <c r="C26" s="64">
        <f t="shared" si="0"/>
        <v>23</v>
      </c>
      <c r="D26" s="64" t="s">
        <v>104</v>
      </c>
      <c r="E26" s="64" t="s">
        <v>43</v>
      </c>
      <c r="F26" s="78" t="s">
        <v>105</v>
      </c>
      <c r="G26" s="79"/>
      <c r="H26" s="79" t="s">
        <v>106</v>
      </c>
      <c r="I26" s="75" t="s">
        <v>107</v>
      </c>
      <c r="J26" s="73" t="b">
        <v>0</v>
      </c>
      <c r="K26" s="64"/>
      <c r="L26" s="64"/>
      <c r="M26" s="64"/>
      <c r="N26" s="64"/>
      <c r="O26" s="64"/>
      <c r="P26" s="64"/>
      <c r="Q26" s="64"/>
    </row>
  </sheetData>
  <mergeCells count="14">
    <mergeCell ref="P1:P2"/>
    <mergeCell ref="O1:O2"/>
    <mergeCell ref="Q1:Q2"/>
    <mergeCell ref="A1:A2"/>
    <mergeCell ref="N1:N2"/>
    <mergeCell ref="H1:H2"/>
    <mergeCell ref="C1:C2"/>
    <mergeCell ref="G1:G2"/>
    <mergeCell ref="F1:F2"/>
    <mergeCell ref="K1:K2"/>
    <mergeCell ref="I1:I2"/>
    <mergeCell ref="E1:E2"/>
    <mergeCell ref="M1:M2"/>
    <mergeCell ref="J1:J2"/>
  </mergeCells>
  <dataValidations count="3">
    <dataValidation type="list" allowBlank="1" showInputMessage="1" showErrorMessage="1" sqref="O4:O26">
      <formula1>"10 - Not Started,20 - In-Process,30 - TPR Hold,40 - DEV Hold,50 - Pass,60 - N/A"</formula1>
    </dataValidation>
    <dataValidation type="list" allowBlank="1" showInputMessage="1" showErrorMessage="1" sqref="L4:L26">
      <formula1>"Y,N"</formula1>
    </dataValidation>
    <dataValidation type="list" allowBlank="1" showInputMessage="1" showErrorMessage="1" sqref="E4:E26">
      <formula1>"AP,Buyer,PO Approv,Inv Approv,Watcher,SAP Tech Team,Prem Tech,Prem Funct"</formula1>
    </dataValidation>
  </dataValidations>
  <pageMargins left="0.45" right="0.45" top="0.75" bottom="0.75" header="0.3" footer="0.3"/>
  <pageSetup scale="61" fitToHeight="1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4" sqref="E4:I64"/>
    </sheetView>
  </sheetViews>
  <sheetFormatPr defaultColWidth="11.44140625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showGridLines="0" workbookViewId="0">
      <selection activeCell="A10" sqref="A10"/>
    </sheetView>
  </sheetViews>
  <sheetFormatPr defaultColWidth="9.109375" defaultRowHeight="17.25" customHeight="1" x14ac:dyDescent="0.2"/>
  <cols>
    <col min="1" max="1" width="14.88671875" style="2" customWidth="1"/>
    <col min="2" max="2" width="8.44140625" style="2" customWidth="1"/>
    <col min="3" max="7" width="14.33203125" style="2" customWidth="1"/>
    <col min="8" max="9" width="14.33203125" style="1" customWidth="1"/>
    <col min="10" max="11" width="11.6640625" style="1" customWidth="1"/>
    <col min="12" max="17" width="14.33203125" style="1" bestFit="1" customWidth="1"/>
    <col min="18" max="18" width="11.6640625" style="1" bestFit="1" customWidth="1"/>
    <col min="19" max="19" width="9.109375" style="1" customWidth="1"/>
    <col min="20" max="16384" width="9.109375" style="1"/>
  </cols>
  <sheetData>
    <row r="1" spans="1:10" ht="11.4" x14ac:dyDescent="0.2"/>
    <row r="2" spans="1:10" ht="17.25" customHeight="1" thickBot="1" x14ac:dyDescent="0.25"/>
    <row r="3" spans="1:10" ht="13.5" customHeight="1" thickBot="1" x14ac:dyDescent="0.3">
      <c r="A3" s="15" t="s">
        <v>108</v>
      </c>
      <c r="B3" s="16"/>
      <c r="C3" s="19" t="s">
        <v>36</v>
      </c>
      <c r="D3" s="20"/>
      <c r="E3" s="20"/>
      <c r="F3" s="20"/>
      <c r="G3" s="20"/>
      <c r="H3" s="20"/>
      <c r="I3" s="20"/>
      <c r="J3" s="21"/>
    </row>
    <row r="4" spans="1:10" ht="13.5" customHeight="1" thickBot="1" x14ac:dyDescent="0.3">
      <c r="A4" s="17" t="s">
        <v>24</v>
      </c>
      <c r="B4" s="18" t="s">
        <v>26</v>
      </c>
      <c r="C4" s="32" t="s">
        <v>109</v>
      </c>
      <c r="D4" s="22" t="s">
        <v>110</v>
      </c>
      <c r="E4" s="22" t="s">
        <v>111</v>
      </c>
      <c r="F4" s="22" t="s">
        <v>112</v>
      </c>
      <c r="G4" s="22" t="s">
        <v>113</v>
      </c>
      <c r="H4" s="22" t="s">
        <v>114</v>
      </c>
      <c r="I4" s="33" t="s">
        <v>115</v>
      </c>
      <c r="J4" s="23" t="s">
        <v>116</v>
      </c>
    </row>
    <row r="5" spans="1:10" ht="12.75" customHeight="1" x14ac:dyDescent="0.25">
      <c r="A5" s="12" t="s">
        <v>117</v>
      </c>
      <c r="B5" s="5" t="s">
        <v>118</v>
      </c>
      <c r="C5" s="3"/>
      <c r="D5" s="4">
        <v>1</v>
      </c>
      <c r="E5" s="4"/>
      <c r="F5" s="4"/>
      <c r="G5" s="4"/>
      <c r="H5" s="4"/>
      <c r="I5" s="4"/>
      <c r="J5" s="6">
        <v>1</v>
      </c>
    </row>
    <row r="6" spans="1:10" ht="12.75" customHeight="1" x14ac:dyDescent="0.25">
      <c r="A6" s="26"/>
      <c r="B6" s="25" t="s">
        <v>119</v>
      </c>
      <c r="C6" s="24"/>
      <c r="D6" s="27">
        <v>1</v>
      </c>
      <c r="E6" s="27"/>
      <c r="F6" s="27"/>
      <c r="G6" s="27"/>
      <c r="H6" s="27">
        <v>8</v>
      </c>
      <c r="I6" s="27">
        <v>2</v>
      </c>
      <c r="J6" s="28">
        <v>11</v>
      </c>
    </row>
    <row r="7" spans="1:10" ht="12.75" customHeight="1" x14ac:dyDescent="0.25">
      <c r="A7" s="26"/>
      <c r="B7" s="25" t="s">
        <v>120</v>
      </c>
      <c r="C7" s="24"/>
      <c r="D7" s="27"/>
      <c r="E7" s="27"/>
      <c r="F7" s="27"/>
      <c r="G7" s="27"/>
      <c r="H7" s="27">
        <v>25</v>
      </c>
      <c r="I7" s="27"/>
      <c r="J7" s="28">
        <v>25</v>
      </c>
    </row>
    <row r="8" spans="1:10" ht="13.5" customHeight="1" thickBot="1" x14ac:dyDescent="0.3">
      <c r="A8" s="29"/>
      <c r="B8" s="30" t="s">
        <v>121</v>
      </c>
      <c r="C8" s="24"/>
      <c r="D8" s="27"/>
      <c r="E8" s="27"/>
      <c r="F8" s="27"/>
      <c r="G8" s="27"/>
      <c r="H8" s="27">
        <v>5</v>
      </c>
      <c r="I8" s="27">
        <v>4</v>
      </c>
      <c r="J8" s="28">
        <v>9</v>
      </c>
    </row>
    <row r="9" spans="1:10" ht="17.25" customHeight="1" thickBot="1" x14ac:dyDescent="0.3">
      <c r="A9" s="13" t="s">
        <v>122</v>
      </c>
      <c r="B9" s="14"/>
      <c r="C9" s="9"/>
      <c r="D9" s="10">
        <v>2</v>
      </c>
      <c r="E9" s="10"/>
      <c r="F9" s="10"/>
      <c r="G9" s="10"/>
      <c r="H9" s="10">
        <v>38</v>
      </c>
      <c r="I9" s="10">
        <v>6</v>
      </c>
      <c r="J9" s="11">
        <v>46</v>
      </c>
    </row>
    <row r="10" spans="1:10" ht="13.5" customHeight="1" thickBot="1" x14ac:dyDescent="0.3">
      <c r="A10" s="13" t="s">
        <v>123</v>
      </c>
      <c r="B10" s="18" t="s">
        <v>120</v>
      </c>
      <c r="C10" s="9"/>
      <c r="D10" s="10">
        <v>1</v>
      </c>
      <c r="E10" s="10">
        <v>1</v>
      </c>
      <c r="F10" s="10">
        <v>1</v>
      </c>
      <c r="G10" s="10">
        <v>1</v>
      </c>
      <c r="H10" s="10">
        <v>1</v>
      </c>
      <c r="I10" s="10">
        <v>1</v>
      </c>
      <c r="J10" s="11">
        <v>6</v>
      </c>
    </row>
    <row r="11" spans="1:10" ht="17.25" customHeight="1" x14ac:dyDescent="0.25">
      <c r="A11" s="12" t="s">
        <v>124</v>
      </c>
      <c r="B11" s="31"/>
      <c r="C11" s="3"/>
      <c r="D11" s="4">
        <v>1</v>
      </c>
      <c r="E11" s="4">
        <v>1</v>
      </c>
      <c r="F11" s="4">
        <v>1</v>
      </c>
      <c r="G11" s="4">
        <v>1</v>
      </c>
      <c r="H11" s="4">
        <v>1</v>
      </c>
      <c r="I11" s="4">
        <v>1</v>
      </c>
      <c r="J11" s="6">
        <v>6</v>
      </c>
    </row>
    <row r="12" spans="1:10" ht="13.5" customHeight="1" thickBot="1" x14ac:dyDescent="0.3">
      <c r="A12" s="7" t="s">
        <v>116</v>
      </c>
      <c r="B12" s="8"/>
      <c r="C12" s="9"/>
      <c r="D12" s="10">
        <v>3</v>
      </c>
      <c r="E12" s="10">
        <v>1</v>
      </c>
      <c r="F12" s="10">
        <v>1</v>
      </c>
      <c r="G12" s="10">
        <v>1</v>
      </c>
      <c r="H12" s="10">
        <v>39</v>
      </c>
      <c r="I12" s="10">
        <v>7</v>
      </c>
      <c r="J12" s="11">
        <v>52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 Cover Sheet</vt:lpstr>
      <vt:lpstr>Steps</vt:lpstr>
      <vt:lpstr>Sheet1</vt:lpstr>
      <vt:lpstr>References</vt:lpstr>
      <vt:lpstr>Scenario Metrics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IBM_USER</dc:creator>
  <cp:lastModifiedBy>Samit paudel</cp:lastModifiedBy>
  <dcterms:created xsi:type="dcterms:W3CDTF">2007-03-01T15:17:38Z</dcterms:created>
  <dcterms:modified xsi:type="dcterms:W3CDTF">2025-03-21T08:49:06Z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">
    <vt:lpwstr>Document</vt:lpwstr>
  </property>
  <property fmtid="{D5CDD505-2E9C-101B-9397-08002B2CF9AE}" pid="3" name="IT Owner">
    <vt:lpwstr>Mark Sivilich</vt:lpwstr>
  </property>
  <property fmtid="{D5CDD505-2E9C-101B-9397-08002B2CF9AE}" pid="4" name="GKI Owner">
    <vt:lpwstr/>
  </property>
  <property fmtid="{D5CDD505-2E9C-101B-9397-08002B2CF9AE}" pid="5" name="NEP Owner">
    <vt:lpwstr/>
  </property>
  <property fmtid="{D5CDD505-2E9C-101B-9397-08002B2CF9AE}" pid="6" name="Seed Owner">
    <vt:lpwstr>Usher Thomason</vt:lpwstr>
  </property>
  <property fmtid="{D5CDD505-2E9C-101B-9397-08002B2CF9AE}" pid="7" name="ContentTypeId">
    <vt:lpwstr>0x01010019714232D8671D41B688C3A48C5AE621</vt:lpwstr>
  </property>
  <property fmtid="{D5CDD505-2E9C-101B-9397-08002B2CF9AE}" pid="8" name="SV_QUERY_LIST_4F35BF76-6C0D-4D9B-82B2-816C12CF3733">
    <vt:lpwstr>empty_477D106A-C0D6-4607-AEBD-E2C9D60EA279</vt:lpwstr>
  </property>
  <property fmtid="{D5CDD505-2E9C-101B-9397-08002B2CF9AE}" pid="9" name="MediaServiceImageTags">
    <vt:lpwstr/>
  </property>
</Properties>
</file>