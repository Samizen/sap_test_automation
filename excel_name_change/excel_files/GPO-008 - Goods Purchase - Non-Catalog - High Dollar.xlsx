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premikati.sharepoint.com/sites/ProjectsandDeliveryHub/Shared Documents/Nexus Water Group/Testing/TEST Scripts/"/>
    </mc:Choice>
  </mc:AlternateContent>
  <xr:revisionPtr revIDLastSave="94" documentId="8_{E02ED5AE-0C6F-45B8-9D46-5C2E354C7010}" xr6:coauthVersionLast="47" xr6:coauthVersionMax="47" xr10:uidLastSave="{A77954A5-FB8B-4C53-8ED9-94DFE53C38A6}"/>
  <bookViews>
    <workbookView xWindow="28680" yWindow="-120" windowWidth="29040" windowHeight="17520" tabRatio="878" firstSheet="1" activeTab="1" xr2:uid="{00000000-000D-0000-FFFF-FFFF00000000}"/>
  </bookViews>
  <sheets>
    <sheet name="Scenario Cover Sheet" sheetId="15" r:id="rId1"/>
    <sheet name="Steps" sheetId="17" r:id="rId2"/>
    <sheet name="References" sheetId="18" r:id="rId3"/>
    <sheet name="Scenario Metrics " sheetId="5" state="hidden" r:id="rId4"/>
  </sheets>
  <definedNames>
    <definedName name="_xlnm._FilterDatabase" localSheetId="1" hidden="1">Steps!$A$1:$P$13</definedName>
  </definedNames>
  <calcPr calcId="191028"/>
  <pivotCaches>
    <pivotCache cacheId="653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7" l="1"/>
  <c r="C8" i="17"/>
  <c r="C9" i="17"/>
  <c r="C10" i="17"/>
  <c r="C11" i="17"/>
  <c r="C12" i="17"/>
  <c r="C13" i="17"/>
  <c r="C6" i="17"/>
  <c r="C4" i="17"/>
  <c r="C5" i="17"/>
</calcChain>
</file>

<file path=xl/sharedStrings.xml><?xml version="1.0" encoding="utf-8"?>
<sst xmlns="http://schemas.openxmlformats.org/spreadsheetml/2006/main" count="106" uniqueCount="83">
  <si>
    <t xml:space="preserve">Scenario Owner: </t>
  </si>
  <si>
    <t>Test Cycle:</t>
  </si>
  <si>
    <t>Scenario ID:</t>
  </si>
  <si>
    <t>Test Objective:</t>
  </si>
  <si>
    <t>Scenario Description:</t>
  </si>
  <si>
    <t>Long Description Scenario Summary for items to be tested</t>
  </si>
  <si>
    <t xml:space="preserve"> </t>
  </si>
  <si>
    <t>Data Requirements</t>
  </si>
  <si>
    <t>Legacy Reference</t>
  </si>
  <si>
    <t>SAP Reference</t>
  </si>
  <si>
    <t>Comments</t>
  </si>
  <si>
    <t xml:space="preserve">Prerequisite </t>
  </si>
  <si>
    <t>Key RICEF Objects</t>
  </si>
  <si>
    <t>Master Data Validation</t>
  </si>
  <si>
    <t>SAP PO Post and Validation</t>
  </si>
  <si>
    <t>SAP Invoice to SAP</t>
  </si>
  <si>
    <t>Payment Remitance Validation to Ariba</t>
  </si>
  <si>
    <t>TEST SRIPT &amp; EXECUTION APPROVAL</t>
  </si>
  <si>
    <t>Name</t>
  </si>
  <si>
    <t>Signature</t>
  </si>
  <si>
    <t>Date</t>
  </si>
  <si>
    <t>Scenario Number</t>
  </si>
  <si>
    <t>Step</t>
  </si>
  <si>
    <t>Team</t>
  </si>
  <si>
    <t xml:space="preserve">Description </t>
  </si>
  <si>
    <t>Test Data / Test Execution</t>
  </si>
  <si>
    <t>Expected Result</t>
  </si>
  <si>
    <t>Step Completed
Sucessfully</t>
  </si>
  <si>
    <t>Actual Result</t>
  </si>
  <si>
    <t>FI Impact</t>
  </si>
  <si>
    <t>RICEF Tested</t>
  </si>
  <si>
    <t>TPR #</t>
  </si>
  <si>
    <t>Status</t>
  </si>
  <si>
    <t>Tester/User ID</t>
  </si>
  <si>
    <t>Y or N</t>
  </si>
  <si>
    <t>Scenario No.</t>
  </si>
  <si>
    <t>Section</t>
  </si>
  <si>
    <t>BL_001</t>
  </si>
  <si>
    <t>GPO-008</t>
  </si>
  <si>
    <t>Environment</t>
  </si>
  <si>
    <t>Buyer</t>
  </si>
  <si>
    <t>Complete script GEN-001 to log in to Guided Buying.</t>
  </si>
  <si>
    <t>Login
Password</t>
  </si>
  <si>
    <t xml:space="preserve">Nexus GuidedBuying page is presented. </t>
  </si>
  <si>
    <r>
      <rPr>
        <sz val="14"/>
        <color rgb="FF000000"/>
        <rFont val="Calibri"/>
      </rPr>
      <t>Click on the "</t>
    </r>
    <r>
      <rPr>
        <sz val="14"/>
        <color rgb="FF00B0F0"/>
        <rFont val="Calibri"/>
      </rPr>
      <t>All Other Purchases</t>
    </r>
    <r>
      <rPr>
        <sz val="14"/>
        <color rgb="FF000000"/>
        <rFont val="Calibri"/>
      </rPr>
      <t xml:space="preserve">" tile from the Landing Page.
</t>
    </r>
  </si>
  <si>
    <t>Search results returned</t>
  </si>
  <si>
    <r>
      <rPr>
        <sz val="14"/>
        <color rgb="FF000000"/>
        <rFont val="Calibri"/>
      </rPr>
      <t>Select the "</t>
    </r>
    <r>
      <rPr>
        <sz val="14"/>
        <color rgb="FF00B0F0"/>
        <rFont val="Calibri"/>
      </rPr>
      <t>Non-Catalog Goods</t>
    </r>
    <r>
      <rPr>
        <sz val="14"/>
        <color rgb="FF000000"/>
        <rFont val="Calibri"/>
      </rPr>
      <t>" tile.</t>
    </r>
  </si>
  <si>
    <t>Open ReqLine form</t>
  </si>
  <si>
    <t>Form</t>
  </si>
  <si>
    <r>
      <rPr>
        <sz val="14"/>
        <color rgb="FF000000"/>
        <rFont val="Calibri"/>
      </rPr>
      <t>Complete the form details: Quantity =</t>
    </r>
    <r>
      <rPr>
        <sz val="14"/>
        <color rgb="FF00B0F0"/>
        <rFont val="Calibri"/>
      </rPr>
      <t xml:space="preserve"> </t>
    </r>
    <r>
      <rPr>
        <sz val="14"/>
        <color rgb="FFFF0000"/>
        <rFont val="Calibri"/>
      </rPr>
      <t>1</t>
    </r>
    <r>
      <rPr>
        <sz val="14"/>
        <color rgb="FF000000"/>
        <rFont val="Calibri"/>
      </rPr>
      <t>, Price per Unit =</t>
    </r>
    <r>
      <rPr>
        <sz val="14"/>
        <color rgb="FF00B0F0"/>
        <rFont val="Calibri"/>
      </rPr>
      <t xml:space="preserve"> </t>
    </r>
    <r>
      <rPr>
        <sz val="14"/>
        <color rgb="FFFF0000"/>
        <rFont val="Calibri"/>
      </rPr>
      <t>$25.00
Note: Form layout may be different from initially configured. Complete all mandatory and optional fields in a realistic manner.</t>
    </r>
  </si>
  <si>
    <t xml:space="preserve">
</t>
  </si>
  <si>
    <t>You are able to fill the form details.</t>
  </si>
  <si>
    <t xml:space="preserve">Select the Supplier of preference. </t>
  </si>
  <si>
    <t>FERGUSON ENTERPRISES INC (0001006652)</t>
  </si>
  <si>
    <r>
      <rPr>
        <sz val="14"/>
        <color rgb="FF000000"/>
        <rFont val="Calibri"/>
        <scheme val="minor"/>
      </rPr>
      <t>Click</t>
    </r>
    <r>
      <rPr>
        <sz val="14"/>
        <color rgb="FF00B0F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>"</t>
    </r>
    <r>
      <rPr>
        <sz val="14"/>
        <color rgb="FF00B0F0"/>
        <rFont val="Calibri"/>
        <scheme val="minor"/>
      </rPr>
      <t>Add to Cart</t>
    </r>
    <r>
      <rPr>
        <sz val="14"/>
        <color rgb="FF000000"/>
        <rFont val="Calibri"/>
        <scheme val="minor"/>
      </rPr>
      <t>".</t>
    </r>
  </si>
  <si>
    <t>Requisition</t>
  </si>
  <si>
    <r>
      <rPr>
        <sz val="14"/>
        <color rgb="FF000000"/>
        <rFont val="Calibri"/>
        <scheme val="minor"/>
      </rPr>
      <t>Click</t>
    </r>
    <r>
      <rPr>
        <sz val="14"/>
        <color rgb="FF00B0F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>"</t>
    </r>
    <r>
      <rPr>
        <sz val="14"/>
        <color rgb="FF00B0F0"/>
        <rFont val="Calibri"/>
        <scheme val="minor"/>
      </rPr>
      <t>Check out</t>
    </r>
    <r>
      <rPr>
        <sz val="14"/>
        <color rgb="FF000000"/>
        <rFont val="Calibri"/>
        <scheme val="minor"/>
      </rPr>
      <t>".</t>
    </r>
  </si>
  <si>
    <t>User profile must be accurate and complete.</t>
  </si>
  <si>
    <t xml:space="preserve">Send to Requisition screen.
User should see no errors.
</t>
  </si>
  <si>
    <r>
      <rPr>
        <sz val="14"/>
        <color rgb="FF000000"/>
        <rFont val="Calibri"/>
        <scheme val="minor"/>
      </rPr>
      <t xml:space="preserve">Scroll down the bottom of the screen and validate the </t>
    </r>
    <r>
      <rPr>
        <sz val="14"/>
        <color rgb="FF00B0F0"/>
        <rFont val="Calibri"/>
        <scheme val="minor"/>
      </rPr>
      <t xml:space="preserve">Approval Flow
</t>
    </r>
  </si>
  <si>
    <t>Assumes User's Supervisor's approval limit is &gt; $180.</t>
  </si>
  <si>
    <t xml:space="preserve">Approval flow should reflect user's Supervisor and then a node for Purchasing approval.
</t>
  </si>
  <si>
    <r>
      <rPr>
        <sz val="14"/>
        <color rgb="FF000000"/>
        <rFont val="Calibri"/>
      </rPr>
      <t>Click "</t>
    </r>
    <r>
      <rPr>
        <sz val="14"/>
        <color rgb="FF00B0F0"/>
        <rFont val="Calibri"/>
      </rPr>
      <t>Submit</t>
    </r>
    <r>
      <rPr>
        <sz val="14"/>
        <color rgb="FF000000"/>
        <rFont val="Calibri"/>
      </rPr>
      <t>"</t>
    </r>
    <r>
      <rPr>
        <sz val="14"/>
        <color rgb="FF538DD5"/>
        <rFont val="Calibri"/>
      </rPr>
      <t>.</t>
    </r>
  </si>
  <si>
    <t>"Success" pop-up</t>
  </si>
  <si>
    <r>
      <rPr>
        <sz val="14"/>
        <color rgb="FF000000"/>
        <rFont val="Calibri"/>
      </rPr>
      <t>Click "</t>
    </r>
    <r>
      <rPr>
        <sz val="14"/>
        <color rgb="FF00B0F0"/>
        <rFont val="Calibri"/>
      </rPr>
      <t>View Requisition</t>
    </r>
    <r>
      <rPr>
        <sz val="14"/>
        <color rgb="FF000000"/>
        <rFont val="Calibri"/>
      </rPr>
      <t xml:space="preserve">", verify that approval flow matches what was seen previously and the Supervisor approval node is active (Highlighted in blue).
</t>
    </r>
  </si>
  <si>
    <t>Correct Approval Flow</t>
  </si>
  <si>
    <t>Count of Status</t>
  </si>
  <si>
    <t>(blank)</t>
  </si>
  <si>
    <t>10 - Not Started</t>
  </si>
  <si>
    <t>20 - In-Process</t>
  </si>
  <si>
    <t>30 - TPR Hold</t>
  </si>
  <si>
    <t>40 - DEV Hold</t>
  </si>
  <si>
    <t>50 - Pass</t>
  </si>
  <si>
    <t>60 - N/A</t>
  </si>
  <si>
    <t>Grand Total</t>
  </si>
  <si>
    <t>PP_018</t>
  </si>
  <si>
    <t>RTR</t>
  </si>
  <si>
    <t>PTP</t>
  </si>
  <si>
    <t>PP</t>
  </si>
  <si>
    <t>IMWM</t>
  </si>
  <si>
    <t>PP_018 Total</t>
  </si>
  <si>
    <t>ZZZ999</t>
  </si>
  <si>
    <t>ZZZ999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</si>
</sst>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sz val="14"/>
      <color rgb="FF000000"/>
      <name val="Calibri"/>
    </font>
    <font>
      <sz val="14"/>
      <color rgb="FF00B0F0"/>
      <name val="Calibri"/>
    </font>
    <font>
      <sz val="14"/>
      <name val="Calibri"/>
    </font>
    <font>
      <sz val="14"/>
      <color rgb="FF538DD5"/>
      <name val="Calibri"/>
    </font>
    <font>
      <sz val="14"/>
      <color rgb="FFFF0000"/>
      <name val="Calibri"/>
    </font>
    <font>
      <sz val="14"/>
      <name val="Calibri"/>
      <scheme val="minor"/>
    </font>
    <font>
      <sz val="14"/>
      <color rgb="FF000000"/>
      <name val="Calibri"/>
      <scheme val="minor"/>
    </font>
    <font>
      <sz val="14"/>
      <color rgb="FF00B0F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E2EFDA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5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5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6" fillId="3" borderId="1" xfId="0" applyFont="1" applyFill="1" applyBorder="1"/>
    <xf numFmtId="0" fontId="0" fillId="2" borderId="16" xfId="0" applyFill="1" applyBorder="1" applyAlignment="1">
      <alignment horizontal="center"/>
    </xf>
    <xf numFmtId="0" fontId="6" fillId="3" borderId="17" xfId="0" applyFont="1" applyFill="1" applyBorder="1"/>
    <xf numFmtId="0" fontId="6" fillId="3" borderId="18" xfId="0" applyFont="1" applyFill="1" applyBorder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6" fillId="3" borderId="10" xfId="0" applyFont="1" applyFill="1" applyBorder="1"/>
    <xf numFmtId="0" fontId="6" fillId="3" borderId="23" xfId="0" applyFont="1" applyFill="1" applyBorder="1"/>
    <xf numFmtId="0" fontId="0" fillId="0" borderId="17" xfId="0" pivotButton="1" applyBorder="1"/>
    <xf numFmtId="0" fontId="6" fillId="3" borderId="19" xfId="0" applyFont="1" applyFill="1" applyBorder="1"/>
    <xf numFmtId="0" fontId="6" fillId="0" borderId="24" xfId="0" pivotButton="1" applyFont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0" fillId="3" borderId="20" xfId="0" applyFill="1" applyBorder="1"/>
    <xf numFmtId="0" fontId="6" fillId="3" borderId="21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6" fillId="3" borderId="26" xfId="0" applyFont="1" applyFill="1" applyBorder="1"/>
    <xf numFmtId="0" fontId="0" fillId="0" borderId="27" xfId="0" applyBorder="1"/>
    <xf numFmtId="0" fontId="0" fillId="2" borderId="0" xfId="0" applyFill="1" applyAlignment="1">
      <alignment horizontal="center"/>
    </xf>
    <xf numFmtId="0" fontId="0" fillId="2" borderId="28" xfId="0" applyFill="1" applyBorder="1" applyAlignment="1">
      <alignment horizontal="center"/>
    </xf>
    <xf numFmtId="0" fontId="0" fillId="0" borderId="29" xfId="0" applyBorder="1"/>
    <xf numFmtId="0" fontId="6" fillId="3" borderId="30" xfId="0" applyFont="1" applyFill="1" applyBorder="1"/>
    <xf numFmtId="0" fontId="0" fillId="0" borderId="31" xfId="0" applyBorder="1"/>
    <xf numFmtId="0" fontId="0" fillId="3" borderId="17" xfId="0" applyFill="1" applyBorder="1"/>
    <xf numFmtId="0" fontId="0" fillId="3" borderId="32" xfId="0" applyFill="1" applyBorder="1"/>
    <xf numFmtId="0" fontId="1" fillId="4" borderId="3" xfId="1" applyFont="1" applyFill="1" applyBorder="1"/>
    <xf numFmtId="0" fontId="2" fillId="0" borderId="37" xfId="1" applyFont="1" applyBorder="1"/>
    <xf numFmtId="0" fontId="2" fillId="0" borderId="4" xfId="1" applyFont="1" applyBorder="1"/>
    <xf numFmtId="0" fontId="2" fillId="0" borderId="5" xfId="1" applyFont="1" applyBorder="1"/>
    <xf numFmtId="0" fontId="2" fillId="0" borderId="0" xfId="1" applyFont="1"/>
    <xf numFmtId="0" fontId="1" fillId="4" borderId="3" xfId="1" applyFont="1" applyFill="1" applyBorder="1" applyAlignment="1">
      <alignment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justify"/>
    </xf>
    <xf numFmtId="0" fontId="2" fillId="0" borderId="9" xfId="1" applyFont="1" applyBorder="1"/>
    <xf numFmtId="0" fontId="1" fillId="4" borderId="10" xfId="1" applyFont="1" applyFill="1" applyBorder="1" applyAlignment="1">
      <alignment vertical="top" wrapText="1"/>
    </xf>
    <xf numFmtId="0" fontId="1" fillId="4" borderId="11" xfId="1" applyFont="1" applyFill="1" applyBorder="1" applyAlignment="1">
      <alignment vertical="top" wrapText="1"/>
    </xf>
    <xf numFmtId="0" fontId="2" fillId="4" borderId="12" xfId="1" applyFont="1" applyFill="1" applyBorder="1"/>
    <xf numFmtId="0" fontId="2" fillId="0" borderId="8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/>
    </xf>
    <xf numFmtId="0" fontId="2" fillId="0" borderId="8" xfId="1" applyFont="1" applyBorder="1"/>
    <xf numFmtId="0" fontId="2" fillId="0" borderId="9" xfId="1" applyFont="1" applyBorder="1" applyAlignment="1">
      <alignment horizontal="center"/>
    </xf>
    <xf numFmtId="0" fontId="3" fillId="0" borderId="8" xfId="1" applyFont="1" applyBorder="1"/>
    <xf numFmtId="0" fontId="1" fillId="4" borderId="10" xfId="1" applyFont="1" applyFill="1" applyBorder="1" applyAlignment="1">
      <alignment horizontal="justify" vertical="top" wrapText="1"/>
    </xf>
    <xf numFmtId="0" fontId="1" fillId="4" borderId="11" xfId="1" applyFont="1" applyFill="1" applyBorder="1" applyAlignment="1">
      <alignment horizontal="justify" vertical="top" wrapText="1"/>
    </xf>
    <xf numFmtId="0" fontId="2" fillId="0" borderId="43" xfId="1" applyFont="1" applyBorder="1" applyAlignment="1">
      <alignment vertical="top" wrapText="1"/>
    </xf>
    <xf numFmtId="0" fontId="2" fillId="0" borderId="34" xfId="1" applyFont="1" applyBorder="1" applyAlignment="1">
      <alignment vertical="top" wrapText="1"/>
    </xf>
    <xf numFmtId="0" fontId="2" fillId="0" borderId="33" xfId="1" applyFont="1" applyBorder="1"/>
    <xf numFmtId="0" fontId="2" fillId="0" borderId="13" xfId="1" applyFont="1" applyBorder="1" applyAlignment="1">
      <alignment vertical="top" wrapText="1"/>
    </xf>
    <xf numFmtId="0" fontId="4" fillId="0" borderId="14" xfId="1" applyFont="1" applyBorder="1" applyAlignment="1">
      <alignment vertical="top" wrapText="1"/>
    </xf>
    <xf numFmtId="0" fontId="2" fillId="0" borderId="15" xfId="1" applyFont="1" applyBorder="1"/>
    <xf numFmtId="0" fontId="8" fillId="0" borderId="0" xfId="1" applyFont="1" applyAlignment="1">
      <alignment horizontal="justify"/>
    </xf>
    <xf numFmtId="0" fontId="7" fillId="0" borderId="0" xfId="1"/>
    <xf numFmtId="0" fontId="9" fillId="0" borderId="0" xfId="1" applyFont="1"/>
    <xf numFmtId="0" fontId="6" fillId="0" borderId="0" xfId="1" applyFont="1"/>
    <xf numFmtId="0" fontId="6" fillId="0" borderId="0" xfId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10" fillId="0" borderId="38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5" borderId="40" xfId="0" applyFont="1" applyFill="1" applyBorder="1" applyAlignment="1">
      <alignment vertical="center"/>
    </xf>
    <xf numFmtId="0" fontId="10" fillId="5" borderId="41" xfId="0" applyFont="1" applyFill="1" applyBorder="1" applyAlignment="1">
      <alignment vertical="center" wrapText="1"/>
    </xf>
    <xf numFmtId="0" fontId="10" fillId="5" borderId="41" xfId="0" applyFont="1" applyFill="1" applyBorder="1" applyAlignment="1">
      <alignment vertical="center"/>
    </xf>
    <xf numFmtId="0" fontId="10" fillId="5" borderId="40" xfId="0" applyFont="1" applyFill="1" applyBorder="1" applyAlignment="1">
      <alignment vertical="center" wrapText="1"/>
    </xf>
    <xf numFmtId="0" fontId="11" fillId="6" borderId="38" xfId="0" applyFont="1" applyFill="1" applyBorder="1" applyAlignment="1">
      <alignment horizontal="left" vertical="top" wrapText="1"/>
    </xf>
    <xf numFmtId="0" fontId="12" fillId="6" borderId="38" xfId="0" applyFont="1" applyFill="1" applyBorder="1" applyAlignment="1">
      <alignment horizontal="left" vertical="top" wrapText="1"/>
    </xf>
    <xf numFmtId="0" fontId="13" fillId="6" borderId="38" xfId="0" applyFont="1" applyFill="1" applyBorder="1" applyAlignment="1">
      <alignment horizontal="left" vertical="top" wrapText="1"/>
    </xf>
    <xf numFmtId="0" fontId="11" fillId="6" borderId="38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0" xfId="0" applyFont="1" applyAlignment="1">
      <alignment vertical="top" wrapText="1"/>
    </xf>
    <xf numFmtId="0" fontId="11" fillId="6" borderId="38" xfId="0" applyFont="1" applyFill="1" applyBorder="1" applyAlignment="1">
      <alignment vertical="top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6" fillId="6" borderId="38" xfId="0" applyFont="1" applyFill="1" applyBorder="1" applyAlignment="1">
      <alignment horizontal="left" vertical="top" wrapText="1"/>
    </xf>
    <xf numFmtId="0" fontId="18" fillId="6" borderId="38" xfId="0" applyFont="1" applyFill="1" applyBorder="1" applyAlignment="1">
      <alignment horizontal="left" vertical="top" wrapText="1"/>
    </xf>
    <xf numFmtId="0" fontId="19" fillId="6" borderId="38" xfId="0" applyFont="1" applyFill="1" applyBorder="1" applyAlignment="1">
      <alignment vertical="top" wrapText="1"/>
    </xf>
    <xf numFmtId="0" fontId="14" fillId="6" borderId="38" xfId="0" applyFont="1" applyFill="1" applyBorder="1" applyAlignment="1">
      <alignment vertical="top" wrapText="1"/>
    </xf>
    <xf numFmtId="0" fontId="2" fillId="0" borderId="8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44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45" xfId="1" applyFont="1" applyBorder="1" applyAlignment="1">
      <alignment vertical="top" wrapText="1"/>
    </xf>
    <xf numFmtId="0" fontId="2" fillId="0" borderId="46" xfId="1" applyFont="1" applyBorder="1" applyAlignment="1">
      <alignment vertical="top" wrapText="1"/>
    </xf>
    <xf numFmtId="0" fontId="2" fillId="0" borderId="47" xfId="1" applyFont="1" applyBorder="1" applyAlignment="1">
      <alignment vertical="top" wrapText="1"/>
    </xf>
    <xf numFmtId="0" fontId="1" fillId="4" borderId="35" xfId="1" applyFont="1" applyFill="1" applyBorder="1" applyAlignment="1">
      <alignment horizontal="left" vertical="top" wrapText="1"/>
    </xf>
    <xf numFmtId="0" fontId="1" fillId="4" borderId="36" xfId="1" applyFont="1" applyFill="1" applyBorder="1" applyAlignment="1">
      <alignment horizontal="left" vertical="top" wrapText="1"/>
    </xf>
    <xf numFmtId="0" fontId="2" fillId="0" borderId="9" xfId="1" applyFont="1" applyBorder="1" applyAlignment="1">
      <alignment horizontal="left" vertical="top" wrapText="1"/>
    </xf>
    <xf numFmtId="0" fontId="2" fillId="0" borderId="14" xfId="1" applyFont="1" applyBorder="1" applyAlignment="1">
      <alignment horizontal="left" vertical="top" wrapText="1"/>
    </xf>
    <xf numFmtId="0" fontId="2" fillId="0" borderId="15" xfId="1" applyFont="1" applyBorder="1" applyAlignment="1">
      <alignment horizontal="left" vertical="top" wrapText="1"/>
    </xf>
    <xf numFmtId="0" fontId="1" fillId="4" borderId="10" xfId="1" applyFont="1" applyFill="1" applyBorder="1" applyAlignment="1">
      <alignment horizontal="left" vertical="top" wrapText="1"/>
    </xf>
    <xf numFmtId="0" fontId="1" fillId="4" borderId="11" xfId="1" applyFont="1" applyFill="1" applyBorder="1" applyAlignment="1">
      <alignment horizontal="left" vertical="top" wrapText="1"/>
    </xf>
    <xf numFmtId="0" fontId="1" fillId="4" borderId="12" xfId="1" applyFont="1" applyFill="1" applyBorder="1" applyAlignment="1">
      <alignment horizontal="left" vertical="top" wrapText="1"/>
    </xf>
    <xf numFmtId="0" fontId="2" fillId="0" borderId="43" xfId="1" applyFont="1" applyBorder="1" applyAlignment="1">
      <alignment vertical="top" wrapText="1"/>
    </xf>
    <xf numFmtId="0" fontId="2" fillId="0" borderId="34" xfId="1" applyFont="1" applyBorder="1" applyAlignment="1">
      <alignment vertical="top" wrapText="1"/>
    </xf>
    <xf numFmtId="0" fontId="2" fillId="0" borderId="33" xfId="1" applyFont="1" applyBorder="1" applyAlignment="1">
      <alignment vertical="top" wrapText="1"/>
    </xf>
    <xf numFmtId="0" fontId="2" fillId="0" borderId="8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9" xfId="1" applyFont="1" applyBorder="1" applyAlignment="1">
      <alignment vertical="top" wrapText="1"/>
    </xf>
    <xf numFmtId="0" fontId="2" fillId="0" borderId="43" xfId="1" applyFont="1" applyBorder="1" applyAlignment="1">
      <alignment horizontal="center" vertical="top" wrapText="1"/>
    </xf>
    <xf numFmtId="0" fontId="2" fillId="0" borderId="33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0" fontId="2" fillId="0" borderId="9" xfId="1" applyFont="1" applyBorder="1" applyAlignment="1">
      <alignment horizontal="center" vertical="top" wrapText="1"/>
    </xf>
    <xf numFmtId="0" fontId="2" fillId="0" borderId="0" xfId="1" applyFont="1" applyAlignment="1">
      <alignment horizontal="center" vertical="top" wrapText="1"/>
    </xf>
    <xf numFmtId="0" fontId="10" fillId="0" borderId="38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2000000}"/>
  </cellStyles>
  <dxfs count="44">
    <dxf>
      <alignment horizontal="center" readingOrder="0"/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 patternType="solid">
          <bgColor indexed="43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</dxfs>
  <tableStyles count="0" defaultTableStyle="TableStyleMedium9" defaultPivotStyle="PivotStyleLight16"/>
  <colors>
    <mruColors>
      <color rgb="FF00B0F0"/>
      <color rgb="FFE2EFDA"/>
      <color rgb="FFCEE4CB"/>
      <color rgb="FFFDE9D9"/>
      <color rgb="FFE4DFEC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Relationship Id="rId14" Type="http://schemas.openxmlformats.org/officeDocument/2006/relationships/customXml" Target="../customXml/item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sites/Enterprise/Projects/R12%20DMC/5%20-%20Test/PTP/Pass%201/PTP_010_R12_Indirect%20Purchasing%20ECC%20Pallet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owning G Hollomon" refreshedDate="39386.436179745368" createdVersion="1" refreshedVersion="3" recordCount="137" upgradeOnRefresh="1" xr:uid="{00000000-000A-0000-FFFF-FFFF00000000}">
  <cacheSource type="worksheet">
    <worksheetSource ref="A1:N13" sheet="SM-MD Tank Final" r:id="rId2"/>
  </cacheSource>
  <cacheFields count="15">
    <cacheField name="Scenario Number" numFmtId="0">
      <sharedItems containsBlank="1" count="28">
        <m/>
        <s v="Demand Planning"/>
        <s v="FTS001"/>
        <s v="CB Master Scheduling"/>
        <s v="MRP"/>
        <s v="Purchasing, Receiving, Quality inspection and AP"/>
        <s v="Prepare for Production, Production execution and reporting"/>
        <s v="ZZZ999"/>
        <s v="ZZZ001" u="1"/>
        <s v="FTS010" u="1"/>
        <s v="XXX001" u="1"/>
        <s v="FTS011" u="1"/>
        <s v="FTS012" u="1"/>
        <s v="FTS013" u="1"/>
        <s v="FTS014" u="1"/>
        <s v="FTS015" u="1"/>
        <s v="FTS002" u="1"/>
        <s v="FTS016" u="1"/>
        <s v="FTS003" u="1"/>
        <s v="FTS017" u="1"/>
        <s v="FTS004" u="1"/>
        <s v="FTS018" u="1"/>
        <s v="FTS005" u="1"/>
        <s v="FTS006" u="1"/>
        <s v="FTS007" u="1"/>
        <s v="FTS008" u="1"/>
        <s v="FTS009" u="1"/>
        <s v="OTC001" u="1"/>
      </sharedItems>
    </cacheField>
    <cacheField name="Step" numFmtId="0">
      <sharedItems containsString="0" containsBlank="1" containsNumber="1" containsInteger="1" minValue="1" maxValue="46"/>
    </cacheField>
    <cacheField name="Team" numFmtId="0">
      <sharedItems containsBlank="1" count="7">
        <m/>
        <s v="FTS"/>
        <s v="PTP"/>
        <s v="IMWM"/>
        <s v="RTR"/>
        <s v="OTC" u="1"/>
        <s v="XXX" u="1"/>
      </sharedItems>
    </cacheField>
    <cacheField name="Description " numFmtId="0">
      <sharedItems containsBlank="1"/>
    </cacheField>
    <cacheField name="Tcode" numFmtId="0">
      <sharedItems containsBlank="1"/>
    </cacheField>
    <cacheField name="Tester" numFmtId="0">
      <sharedItems containsBlank="1"/>
    </cacheField>
    <cacheField name="Test Data / Test Execution" numFmtId="0">
      <sharedItems containsBlank="1"/>
    </cacheField>
    <cacheField name="Expected Result" numFmtId="0">
      <sharedItems containsBlank="1"/>
    </cacheField>
    <cacheField name="Actual Result" numFmtId="0">
      <sharedItems containsBlank="1"/>
    </cacheField>
    <cacheField name="FI Impact" numFmtId="0">
      <sharedItems containsBlank="1"/>
    </cacheField>
    <cacheField name="RICEF Tested" numFmtId="0">
      <sharedItems containsBlank="1"/>
    </cacheField>
    <cacheField name="TPR #" numFmtId="0">
      <sharedItems containsNonDate="0" containsString="0" containsBlank="1"/>
    </cacheField>
    <cacheField name="Status" numFmtId="0">
      <sharedItems containsBlank="1" count="34">
        <m/>
        <s v="50 - Pass"/>
        <s v="60 - N/A"/>
        <s v="10 - Not Started"/>
        <s v="20 - In-Process"/>
        <s v="30 - TPR Hold"/>
        <s v="40 - DEV Hold"/>
        <s v="8 - Not Started" u="1"/>
        <s v="20 - Defined Not Started" u="1"/>
        <s v="50 DEV Hold" u="1"/>
        <s v="50 - Pass " u="1"/>
        <s v="1 - Not Started" u="1"/>
        <s v="Complete" u="1"/>
        <s v="40 TPR Hold" u="1"/>
        <s v="6 - Not Started" u="1"/>
        <s v="60 - DEV Hold" u="1"/>
        <s v="DEV Hold" u="1"/>
        <s v="10 Not Started" u="1"/>
        <s v="Not Started" u="1"/>
        <s v="40 - Complete" u="1"/>
        <s v="4 - Not Started" u="1"/>
        <s v="9 - Not Started" u="1"/>
        <s v="2 - Not Started" u="1"/>
        <s v="7 - Not Started" u="1"/>
        <s v="TPR Hold" u="1"/>
        <s v="10 - Not Defined" u="1"/>
        <s v="30 Pass" u="1"/>
        <s v="5 - Not Started" u="1"/>
        <s v="30 - In-Process" u="1"/>
        <s v="In Process" u="1"/>
        <s v="50 - TPR Hold" u="1"/>
        <s v="Pass" u="1"/>
        <s v="3 - Not Started" u="1"/>
        <s v="20 In Process" u="1"/>
      </sharedItems>
    </cacheField>
    <cacheField name="User ID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x v="0"/>
    <m/>
    <x v="0"/>
    <m/>
    <m/>
    <m/>
    <m/>
    <m/>
    <m/>
    <s v="Y or N"/>
    <m/>
    <m/>
    <x v="0"/>
    <m/>
    <m/>
  </r>
  <r>
    <x v="1"/>
    <m/>
    <x v="0"/>
    <m/>
    <m/>
    <m/>
    <m/>
    <m/>
    <m/>
    <m/>
    <m/>
    <m/>
    <x v="0"/>
    <m/>
    <m/>
  </r>
  <r>
    <x v="2"/>
    <n v="1"/>
    <x v="1"/>
    <s v="Maintain sales forecast by forecast group changing the forecast for the current period "/>
    <s v="YPPSF1"/>
    <s v="Planner"/>
    <s v="Forecast group= 5040001_x000a_Material = 34636"/>
    <s v="Upload sales forecast update"/>
    <s v="Forecast updated in S800"/>
    <s v="N"/>
    <s v="Y"/>
    <m/>
    <x v="1"/>
    <m/>
    <m/>
  </r>
  <r>
    <x v="2"/>
    <n v="2"/>
    <x v="1"/>
    <s v="Copy  latest sales forecast to manufacturing forecast"/>
    <s v="YPPCP1"/>
    <s v="Planner"/>
    <m/>
    <s v="Updated sales forecast copied except for first 2 periods"/>
    <s v="Forecast copied except first 2 periods"/>
    <s v="N"/>
    <s v="Y"/>
    <m/>
    <x v="1"/>
    <m/>
    <m/>
  </r>
  <r>
    <x v="2"/>
    <n v="3"/>
    <x v="1"/>
    <s v="Maintain manufacturing forecast to incorporate changes made in current and future period._x000a_Transfer to demand management"/>
    <s v="YPPPFC02_x000a_MD63"/>
    <s v="Planner"/>
    <s v="Plant = IA01_x000a_Version = GP"/>
    <s v="Manufacturing forecast transferred to demand management._x000a_First 3 periods are broken down into weekly buckets based on distribution rule_x000a_"/>
    <m/>
    <s v="N"/>
    <s v="Y"/>
    <m/>
    <x v="1"/>
    <m/>
    <m/>
  </r>
  <r>
    <x v="3"/>
    <m/>
    <x v="0"/>
    <m/>
    <m/>
    <m/>
    <m/>
    <m/>
    <m/>
    <m/>
    <m/>
    <m/>
    <x v="0"/>
    <m/>
    <m/>
  </r>
  <r>
    <x v="2"/>
    <n v="4"/>
    <x v="1"/>
    <s v="MPS planning for finished goods"/>
    <s v="MD40"/>
    <s v="Planner"/>
    <s v="Processing type + NETCH"/>
    <s v="All MPS items are planned"/>
    <m/>
    <s v="N"/>
    <m/>
    <m/>
    <x v="1"/>
    <m/>
    <m/>
  </r>
  <r>
    <x v="2"/>
    <n v="5"/>
    <x v="1"/>
    <s v="Evaluate results of MPS run and resolve exception plan to create master schedule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6"/>
    <x v="1"/>
    <s v="Check that PIRs are consumed by sales orders"/>
    <s v="MD63"/>
    <s v="Planner"/>
    <s v="Sales order 13744"/>
    <s v="PIR for the month are reduced by the sales orders"/>
    <m/>
    <s v="N"/>
    <m/>
    <m/>
    <x v="1"/>
    <m/>
    <m/>
  </r>
  <r>
    <x v="4"/>
    <m/>
    <x v="0"/>
    <m/>
    <m/>
    <m/>
    <m/>
    <m/>
    <m/>
    <m/>
    <m/>
    <m/>
    <x v="0"/>
    <m/>
    <m/>
  </r>
  <r>
    <x v="2"/>
    <n v="7"/>
    <x v="1"/>
    <s v="Create master schedule for manufactured finished goods"/>
    <s v="CO41"/>
    <s v="Planner"/>
    <s v="Material 74110"/>
    <s v="Production orders are created"/>
    <s v="Order #'s:_x000a_100004821_x000a_100004822_x000a_100004823"/>
    <s v="Y"/>
    <m/>
    <m/>
    <x v="1"/>
    <m/>
    <m/>
  </r>
  <r>
    <x v="2"/>
    <n v="8"/>
    <x v="1"/>
    <s v="MRP planning for semi-finished goods and raw materials after master schedule is created"/>
    <s v="MD01"/>
    <s v="Planner"/>
    <s v="Processing type + NETCH"/>
    <s v="All MRP items are planned"/>
    <m/>
    <s v="N"/>
    <m/>
    <m/>
    <x v="1"/>
    <m/>
    <m/>
  </r>
  <r>
    <x v="2"/>
    <n v="9"/>
    <x v="1"/>
    <s v="Evaluate results of MRP for semi-finished goods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10"/>
    <x v="1"/>
    <s v="Change MRP master data"/>
    <s v="MM02"/>
    <s v="Planner"/>
    <s v="Material # = 2004268"/>
    <s v="Material master is changed."/>
    <m/>
    <s v="N"/>
    <m/>
    <m/>
    <x v="1"/>
    <m/>
    <m/>
  </r>
  <r>
    <x v="2"/>
    <n v="11"/>
    <x v="1"/>
    <s v="Re-execute MRP for material"/>
    <s v="MD02"/>
    <s v="Planner"/>
    <s v="Processing type + NETCH"/>
    <s v="Planned orders are deleted and new ones are created"/>
    <m/>
    <s v="N"/>
    <m/>
    <m/>
    <x v="1"/>
    <m/>
    <m/>
  </r>
  <r>
    <x v="2"/>
    <n v="12"/>
    <x v="1"/>
    <s v="Evaluate MRP results for single item"/>
    <s v="MD04"/>
    <s v="Planner"/>
    <s v="Material # = 2004268"/>
    <s v="New planned order quantities are in the new lot size and rounding"/>
    <m/>
    <s v="N"/>
    <m/>
    <m/>
    <x v="1"/>
    <m/>
    <m/>
  </r>
  <r>
    <x v="2"/>
    <n v="13"/>
    <x v="1"/>
    <s v="Production order creation for manufactured semi-finished goods"/>
    <s v="CO41"/>
    <s v="Planner"/>
    <s v="Material # = 2004268_x000a_Order type = PP01"/>
    <s v="Production orders are created"/>
    <s v="Order #'s:_x000a_100004824_x000a_100004825_x000a_100004826"/>
    <s v="Y"/>
    <m/>
    <m/>
    <x v="1"/>
    <m/>
    <m/>
  </r>
  <r>
    <x v="5"/>
    <m/>
    <x v="0"/>
    <m/>
    <m/>
    <m/>
    <m/>
    <m/>
    <m/>
    <m/>
    <m/>
    <m/>
    <x v="0"/>
    <m/>
    <m/>
  </r>
  <r>
    <x v="2"/>
    <n v="14"/>
    <x v="2"/>
    <s v="Evaluate results of MRP for purchased components (Enter Buyer number)"/>
    <s v="MD07"/>
    <s v="Buyer"/>
    <s v="Stock requirements list collective display:_x000a_MRP controller = 115_x000a_Procurement type = F_x000a_Review and resolve exception messages"/>
    <s v="Stock requirements list displayed for purchased components"/>
    <m/>
    <s v="N"/>
    <m/>
    <m/>
    <x v="1"/>
    <m/>
    <m/>
  </r>
  <r>
    <x v="2"/>
    <n v="15"/>
    <x v="2"/>
    <s v="Assign Reqs. To suppliers "/>
    <s v="ME57"/>
    <s v="Buyer"/>
    <s v="(If not assigned)_x000a_"/>
    <s v="Purchase Requisitions sourced automatically"/>
    <m/>
    <m/>
    <m/>
    <m/>
    <x v="2"/>
    <m/>
    <m/>
  </r>
  <r>
    <x v="2"/>
    <n v="16"/>
    <x v="2"/>
    <s v="Create purchase orders"/>
    <s v="MD07 "/>
    <s v="Buyer"/>
    <s v="Material 44103_x000a__x000a_"/>
    <s v="Purchase orders are created"/>
    <s v="PO # 4500005119"/>
    <s v="N"/>
    <m/>
    <m/>
    <x v="1"/>
    <m/>
    <m/>
  </r>
  <r>
    <x v="2"/>
    <n v="17"/>
    <x v="2"/>
    <s v="Validate P.O. Data"/>
    <s v="ME22n"/>
    <s v="Buyer"/>
    <s v="Validate the (post to q stock)_x000a_Validate P.O. Output _x000a_Validate Text copy from the material master _x000a_Validate P.O. amt for material in the pricing condition._x000a_Validate text copies from PIR_x000a_Validate the storage location = 2000_x000a_"/>
    <s v="The P.O. will post to quality in the delivery tab &quot;Stock Type&quot; _x000a_The P.O. will output delivery address for the storage location, line items, pricing not to include burden._x000a_Text copies from both Pir and the material master to the P.O._x000a_The AMT rate should co"/>
    <m/>
    <s v="N"/>
    <s v="Y"/>
    <m/>
    <x v="3"/>
    <m/>
    <m/>
  </r>
  <r>
    <x v="2"/>
    <n v="18"/>
    <x v="2"/>
    <s v="Post and AB posting of a date greater than the delivery date"/>
    <s v="ME22n"/>
    <s v="Buyer"/>
    <s v="Date greater than required delivery date"/>
    <s v="The confirmation type allows the ab posting "/>
    <m/>
    <m/>
    <s v="Y"/>
    <m/>
    <x v="1"/>
    <m/>
    <m/>
  </r>
  <r>
    <x v="2"/>
    <n v="19"/>
    <x v="2"/>
    <s v="Run MRP for the material to simulate the nightly run"/>
    <s v="MD02"/>
    <s v="Planner"/>
    <s v="Should pass new requirements date forward to show that the component will be late."/>
    <s v="The new date should be reflected in the MD04 of the component"/>
    <m/>
    <m/>
    <m/>
    <m/>
    <x v="1"/>
    <m/>
    <m/>
  </r>
  <r>
    <x v="2"/>
    <n v="20"/>
    <x v="3"/>
    <s v="Receive the material into stock Q hold "/>
    <s v="Perform MIGO or Use the RF transaction"/>
    <s v="Warehouse"/>
    <s v="Enter the P.O., P.O. item, Material, Vendor batch number , and storage location_x000a__x000a_The system should:_x000a_put in the date of manufacture as today,_x000a_Populate the shelf life based on today + shelf life_x000a_Create a new batch number with the following logic (YYMMDD9999"/>
    <s v="The record in migo should have the following characteristics when completed:_x000a_Batch number_x000a_vendor Batch number_x000a_Shelf life date_x000a_Date of manufacture_x000a_su unit information_x000a_and be posting into quality._x000a_Quality Labels printed"/>
    <s v="PO# 4500005119_x000a_Material # 44103 / IA01_x000a_Batch # generated_x000a_Shelf life was not calculated automatically_x000a_Had to manually populate the date of mfgr_x000a_Qty per SU not populated_x000a__x000a_Did not get expected results because of known master data problems addressed separatel"/>
    <m/>
    <m/>
    <m/>
    <x v="2"/>
    <m/>
    <m/>
  </r>
  <r>
    <x v="2"/>
    <n v="21"/>
    <x v="3"/>
    <s v="Create Transfer Order from Transfer Requirement"/>
    <s v="LT06"/>
    <s v="Warehouse"/>
    <s v="Transfer orders should be created and confirmed to the desired locations "/>
    <s v="or split it to leave some on the doc"/>
    <m/>
    <m/>
    <m/>
    <m/>
    <x v="1"/>
    <m/>
    <m/>
  </r>
  <r>
    <x v="2"/>
    <n v="22"/>
    <x v="3"/>
    <s v="Confirm Transfer Order"/>
    <s v="LT12"/>
    <s v="Warehouse"/>
    <m/>
    <m/>
    <m/>
    <m/>
    <m/>
    <m/>
    <x v="1"/>
    <m/>
    <m/>
  </r>
  <r>
    <x v="2"/>
    <n v="23"/>
    <x v="3"/>
    <s v="Putaway Storage Unit "/>
    <s v="LT09"/>
    <s v="Warehouse"/>
    <m/>
    <m/>
    <m/>
    <m/>
    <m/>
    <m/>
    <x v="1"/>
    <m/>
    <m/>
  </r>
  <r>
    <x v="2"/>
    <n v="24"/>
    <x v="2"/>
    <s v="Quality picks up samples and reviews materials"/>
    <s v="(manual checks) "/>
    <s v="Quality"/>
    <s v="Quality is on the low end."/>
    <s v="purposely damage the materials _x000a_(just seeing if anybody read this) "/>
    <m/>
    <m/>
    <m/>
    <m/>
    <x v="1"/>
    <m/>
    <m/>
  </r>
  <r>
    <x v="2"/>
    <n v="25"/>
    <x v="2"/>
    <s v="Create a notification  with defect, cause,"/>
    <s v="QM01 "/>
    <s v="Quality"/>
    <s v="Create a Z2 notification by Referencing the material document to pull in all the data from both the P.O. and the Material doc. Print the Document"/>
    <s v="The system should find the P.O. and be able to reference it"/>
    <m/>
    <m/>
    <s v="Y"/>
    <m/>
    <x v="1"/>
    <m/>
    <m/>
  </r>
  <r>
    <x v="2"/>
    <n v="26"/>
    <x v="2"/>
    <s v="We decide to use the material.  Update the notification with a disposition"/>
    <s v="qm02 "/>
    <s v="Quality"/>
    <s v="Update the notification that the material is okay to use"/>
    <m/>
    <m/>
    <m/>
    <m/>
    <m/>
    <x v="2"/>
    <m/>
    <m/>
  </r>
  <r>
    <x v="2"/>
    <n v="27"/>
    <x v="2"/>
    <s v="Move stock at the IM level from (Q to Unrestricted)"/>
    <s v="Run new report to be developed "/>
    <s v="Quality"/>
    <s v="IM posting status manual transaction = LQ02"/>
    <m/>
    <m/>
    <m/>
    <m/>
    <m/>
    <x v="1"/>
    <m/>
    <m/>
  </r>
  <r>
    <x v="2"/>
    <n v="28"/>
    <x v="4"/>
    <s v="Receive invoice from vendor "/>
    <s v="MIRO"/>
    <s v="Account Payable "/>
    <s v="P.O. number "/>
    <s v="Invoice posts"/>
    <m/>
    <m/>
    <m/>
    <m/>
    <x v="3"/>
    <m/>
    <m/>
  </r>
  <r>
    <x v="6"/>
    <m/>
    <x v="0"/>
    <m/>
    <m/>
    <m/>
    <m/>
    <m/>
    <m/>
    <m/>
    <m/>
    <m/>
    <x v="0"/>
    <m/>
    <m/>
  </r>
  <r>
    <x v="2"/>
    <n v="29"/>
    <x v="1"/>
    <s v="Schedule production orders"/>
    <s v="YPPPS12"/>
    <s v="Scheduler"/>
    <s v="Production scheduler = "/>
    <s v="Production orders are released."/>
    <s v="Order #'s released:_x000a_100004821_x000a_100004822_x000a_100004823_x000a_100004824_x000a_100004825_x000a_100004826"/>
    <m/>
    <s v="Y"/>
    <m/>
    <x v="1"/>
    <m/>
    <m/>
  </r>
  <r>
    <x v="2"/>
    <n v="30"/>
    <x v="1"/>
    <s v="Determine if there are any missing parts"/>
    <s v="COMAC"/>
    <s v="Scheduler"/>
    <s v="Orders"/>
    <s v="Missing parts reported"/>
    <s v="Missing parts job executed and determined missing parts"/>
    <m/>
    <m/>
    <m/>
    <x v="1"/>
    <m/>
    <m/>
  </r>
  <r>
    <x v="2"/>
    <n v="31"/>
    <x v="1"/>
    <s v="Review missing parts list"/>
    <s v="CO24"/>
    <s v="Scheduler"/>
    <m/>
    <s v="co24 lists missing parts"/>
    <s v="Missing parts reported on CO24"/>
    <m/>
    <m/>
    <m/>
    <x v="1"/>
    <m/>
    <m/>
  </r>
  <r>
    <x v="2"/>
    <n v="32"/>
    <x v="1"/>
    <s v="Request transfer of materials from warehouse to staging area"/>
    <s v="YPPST1"/>
    <s v="Material handler"/>
    <m/>
    <s v="Transfer order created"/>
    <s v="Order #'s:_x000a_100004822_x000a_100004825"/>
    <m/>
    <m/>
    <m/>
    <x v="1"/>
    <m/>
    <m/>
  </r>
  <r>
    <x v="2"/>
    <n v="33"/>
    <x v="3"/>
    <s v="Materials are transferred"/>
    <s v="Custom RF Transaction"/>
    <s v="Warehouse"/>
    <m/>
    <s v="Transfer orders are confirmed"/>
    <m/>
    <m/>
    <m/>
    <m/>
    <x v="1"/>
    <m/>
    <m/>
  </r>
  <r>
    <x v="2"/>
    <n v="34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35"/>
    <x v="1"/>
    <s v="Generate batch number"/>
    <s v="YPPCB"/>
    <s v="Material handler"/>
    <m/>
    <s v="Batch number is created and assigned to the production order"/>
    <m/>
    <m/>
    <m/>
    <m/>
    <x v="1"/>
    <m/>
    <m/>
  </r>
  <r>
    <x v="2"/>
    <n v="36"/>
    <x v="1"/>
    <s v="Produce the semi-finished product"/>
    <s v="YPPGR"/>
    <s v="Material handler"/>
    <s v="Production order #_x000a_Quantity = "/>
    <s v="Material is received as Quality inspection stock_x000a_Order is confirmed"/>
    <m/>
    <m/>
    <m/>
    <m/>
    <x v="1"/>
    <m/>
    <m/>
  </r>
  <r>
    <x v="2"/>
    <n v="37"/>
    <x v="1"/>
    <s v="Report actual material consumption"/>
    <s v="YPPGI"/>
    <s v="Material handler"/>
    <s v="Components list: numerous components"/>
    <s v="Inventory is decreased by actual consumption"/>
    <m/>
    <m/>
    <m/>
    <m/>
    <x v="1"/>
    <m/>
    <m/>
  </r>
  <r>
    <x v="2"/>
    <n v="38"/>
    <x v="3"/>
    <s v="Move produced material to staging area"/>
    <s v="Cutom RF Transaction"/>
    <s v="Warehouse"/>
    <s v="Move product to staging area for putaway"/>
    <m/>
    <s v="No movement needed - received into PSA"/>
    <m/>
    <m/>
    <m/>
    <x v="1"/>
    <m/>
    <m/>
  </r>
  <r>
    <x v="2"/>
    <n v="39"/>
    <x v="3"/>
    <s v="Return unused components to returns area"/>
    <s v="LT01"/>
    <s v="Warehouse"/>
    <m/>
    <m/>
    <m/>
    <m/>
    <m/>
    <m/>
    <x v="2"/>
    <m/>
    <m/>
  </r>
  <r>
    <x v="2"/>
    <n v="40"/>
    <x v="2"/>
    <s v="Process WM Posting Change from Quality to Unrestricted"/>
    <s v="LQ02"/>
    <s v="Quality Group"/>
    <s v="Material =_x000a_Batch = _x000a_"/>
    <s v="Material / Batch moved to Unrestricted status"/>
    <m/>
    <s v="N"/>
    <m/>
    <m/>
    <x v="1"/>
    <m/>
    <m/>
  </r>
  <r>
    <x v="2"/>
    <n v="41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42"/>
    <x v="1"/>
    <s v="Generate batch number"/>
    <s v="YPPCB"/>
    <s v="Material handler"/>
    <m/>
    <s v="Batch number from semi-finished product is assigned to the production order for the finished product "/>
    <m/>
    <m/>
    <m/>
    <m/>
    <x v="1"/>
    <m/>
    <m/>
  </r>
  <r>
    <x v="2"/>
    <n v="43"/>
    <x v="1"/>
    <s v="Produce the product"/>
    <s v="YPPGR"/>
    <s v="Material handler"/>
    <s v="Production order #100004822_x000a_Quantity = 4000 EA"/>
    <s v="Material is received as Quality inspection stock_x000a_Order is confirmed"/>
    <m/>
    <m/>
    <m/>
    <m/>
    <x v="1"/>
    <m/>
    <m/>
  </r>
  <r>
    <x v="2"/>
    <n v="44"/>
    <x v="1"/>
    <s v="Report actual material consumption"/>
    <s v="YPPGI"/>
    <s v="Material handler"/>
    <s v="Components list:_x000a_2004268_x000a_2008372_x000a_742531_x000a_741722"/>
    <s v="Inventory is decreased by actual consumption"/>
    <m/>
    <m/>
    <m/>
    <m/>
    <x v="1"/>
    <m/>
    <m/>
  </r>
  <r>
    <x v="2"/>
    <n v="45"/>
    <x v="3"/>
    <s v="Move produced material to staging area"/>
    <s v="Cutom RF Transaction"/>
    <s v="Warehouse"/>
    <s v="Move product to staging area for putaway"/>
    <m/>
    <m/>
    <m/>
    <m/>
    <m/>
    <x v="2"/>
    <m/>
    <m/>
  </r>
  <r>
    <x v="2"/>
    <n v="46"/>
    <x v="3"/>
    <s v="Return unused components to returns area"/>
    <s v="LT01"/>
    <s v="Warehouse"/>
    <m/>
    <m/>
    <m/>
    <m/>
    <m/>
    <m/>
    <x v="2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7"/>
    <n v="1"/>
    <x v="1"/>
    <m/>
    <m/>
    <m/>
    <m/>
    <m/>
    <m/>
    <m/>
    <m/>
    <m/>
    <x v="0"/>
    <m/>
    <m/>
  </r>
  <r>
    <x v="7"/>
    <n v="2"/>
    <x v="1"/>
    <m/>
    <m/>
    <m/>
    <m/>
    <m/>
    <m/>
    <m/>
    <m/>
    <m/>
    <x v="3"/>
    <m/>
    <m/>
  </r>
  <r>
    <x v="7"/>
    <n v="3"/>
    <x v="1"/>
    <m/>
    <m/>
    <m/>
    <m/>
    <m/>
    <m/>
    <m/>
    <m/>
    <m/>
    <x v="4"/>
    <m/>
    <m/>
  </r>
  <r>
    <x v="7"/>
    <n v="4"/>
    <x v="1"/>
    <m/>
    <m/>
    <m/>
    <m/>
    <m/>
    <m/>
    <m/>
    <m/>
    <m/>
    <x v="5"/>
    <m/>
    <m/>
  </r>
  <r>
    <x v="7"/>
    <n v="5"/>
    <x v="1"/>
    <m/>
    <m/>
    <m/>
    <m/>
    <m/>
    <m/>
    <m/>
    <m/>
    <m/>
    <x v="6"/>
    <m/>
    <m/>
  </r>
  <r>
    <x v="7"/>
    <n v="6"/>
    <x v="1"/>
    <m/>
    <m/>
    <m/>
    <m/>
    <m/>
    <m/>
    <m/>
    <m/>
    <m/>
    <x v="1"/>
    <m/>
    <m/>
  </r>
  <r>
    <x v="7"/>
    <n v="7"/>
    <x v="1"/>
    <m/>
    <m/>
    <m/>
    <m/>
    <m/>
    <m/>
    <m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6538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>
  <location ref="A3:J12" firstHeaderRow="1" firstDataRow="2" firstDataCol="2"/>
  <pivotFields count="15">
    <pivotField axis="axisRow" compact="0" outline="0" subtotalTop="0" showAll="0" includeNewItemsInFilter="1">
      <items count="29">
        <item h="1" m="1" x="27"/>
        <item h="1" x="0"/>
        <item h="1" m="1" x="10"/>
        <item n="PP_018" x="2"/>
        <item m="1" x="8"/>
        <item x="7"/>
        <item m="1" x="16"/>
        <item m="1" x="18"/>
        <item m="1" x="20"/>
        <item m="1" x="22"/>
        <item m="1" x="23"/>
        <item m="1" x="24"/>
        <item m="1" x="25"/>
        <item m="1" x="26"/>
        <item m="1" x="9"/>
        <item m="1" x="11"/>
        <item m="1" x="12"/>
        <item m="1" x="13"/>
        <item m="1" x="14"/>
        <item m="1" x="15"/>
        <item m="1" x="17"/>
        <item m="1" x="19"/>
        <item m="1" x="21"/>
        <item x="1"/>
        <item x="3"/>
        <item x="4"/>
        <item x="5"/>
        <item x="6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8">
        <item h="1" x="0"/>
        <item m="1" x="5"/>
        <item x="4"/>
        <item x="2"/>
        <item n="PP" x="1"/>
        <item m="1" x="6"/>
        <item x="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dataField="1" compact="0" outline="0" subtotalTop="0" showAll="0" includeNewItemsInFilter="1">
      <items count="35">
        <item m="1" x="12"/>
        <item m="1" x="16"/>
        <item m="1" x="29"/>
        <item m="1" x="31"/>
        <item m="1" x="24"/>
        <item x="0"/>
        <item m="1" x="17"/>
        <item m="1" x="33"/>
        <item m="1" x="26"/>
        <item m="1" x="13"/>
        <item m="1" x="9"/>
        <item m="1" x="25"/>
        <item m="1" x="8"/>
        <item m="1" x="28"/>
        <item m="1" x="19"/>
        <item m="1" x="30"/>
        <item m="1" x="15"/>
        <item x="3"/>
        <item x="4"/>
        <item x="5"/>
        <item x="6"/>
        <item m="1" x="10"/>
        <item m="1" x="18"/>
        <item m="1" x="11"/>
        <item m="1" x="22"/>
        <item m="1" x="32"/>
        <item m="1" x="20"/>
        <item m="1" x="27"/>
        <item m="1" x="14"/>
        <item m="1" x="23"/>
        <item m="1" x="7"/>
        <item m="1" x="21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2">
    <field x="0"/>
    <field x="2"/>
  </rowFields>
  <rowItems count="8">
    <i>
      <x v="3"/>
      <x v="2"/>
    </i>
    <i r="1">
      <x v="3"/>
    </i>
    <i r="1">
      <x v="4"/>
    </i>
    <i r="1">
      <x v="6"/>
    </i>
    <i t="default">
      <x v="3"/>
    </i>
    <i>
      <x v="5"/>
      <x v="4"/>
    </i>
    <i t="default">
      <x v="5"/>
    </i>
    <i t="grand">
      <x/>
    </i>
  </rowItems>
  <colFields count="1">
    <field x="12"/>
  </colFields>
  <colItems count="8">
    <i>
      <x v="5"/>
    </i>
    <i>
      <x v="17"/>
    </i>
    <i>
      <x v="18"/>
    </i>
    <i>
      <x v="19"/>
    </i>
    <i>
      <x v="20"/>
    </i>
    <i>
      <x v="32"/>
    </i>
    <i>
      <x v="33"/>
    </i>
    <i t="grand">
      <x/>
    </i>
  </colItems>
  <dataFields count="1">
    <dataField name="Count of Status" fld="12" subtotal="count" baseField="0" baseItem="0"/>
  </dataFields>
  <formats count="44">
    <format dxfId="0">
      <pivotArea outline="0" fieldPosition="0"/>
    </format>
    <format dxfId="1">
      <pivotArea type="origin" dataOnly="0" labelOnly="1" outline="0" fieldPosition="0"/>
    </format>
    <format dxfId="2">
      <pivotArea field="2" type="button" dataOnly="0" labelOnly="1" outline="0" axis="axisRow" fieldPosition="1"/>
    </format>
    <format dxfId="3">
      <pivotArea dataOnly="0" labelOnly="1" outline="0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5">
      <pivotArea type="topRight" dataOnly="0" labelOnly="1" outline="0" fieldPosition="0"/>
    </format>
    <format dxfId="6">
      <pivotArea dataOnly="0" labelOnly="1" grandCol="1" outline="0" fieldPosition="0"/>
    </format>
    <format dxfId="7">
      <pivotArea outline="0" fieldPosition="0"/>
    </format>
    <format dxfId="8">
      <pivotArea type="origin" dataOnly="0" labelOnly="1" outline="0" fieldPosition="0"/>
    </format>
    <format dxfId="9">
      <pivotArea field="2" type="button" dataOnly="0" labelOnly="1" outline="0" axis="axisRow" fieldPosition="1"/>
    </format>
    <format dxfId="10">
      <pivotArea dataOnly="0" labelOnly="1" outline="0" fieldPosition="0">
        <references count="1">
          <reference field="2" count="0"/>
        </references>
      </pivotArea>
    </format>
    <format dxfId="11">
      <pivotArea dataOnly="0" labelOnly="1" grandRow="1" outline="0" fieldPosition="0"/>
    </format>
    <format dxfId="12">
      <pivotArea dataOnly="0" labelOnly="1" grandCol="1" outline="0" fieldPosition="0"/>
    </format>
    <format dxfId="13">
      <pivotArea dataOnly="0" labelOnly="1" grandCol="1" outline="0" fieldPosition="0"/>
    </format>
    <format dxfId="14">
      <pivotArea field="12" type="button" dataOnly="0" labelOnly="1" outline="0" axis="axisCol" fieldPosition="0"/>
    </format>
    <format dxfId="15">
      <pivotArea type="topRight" dataOnly="0" labelOnly="1" outline="0" fieldPosition="0"/>
    </format>
    <format dxfId="16">
      <pivotArea dataOnly="0" labelOnly="1" outline="0" fieldPosition="0">
        <references count="1">
          <reference field="12" count="5">
            <x v="6"/>
            <x v="7"/>
            <x v="8"/>
            <x v="9"/>
            <x v="10"/>
          </reference>
        </references>
      </pivotArea>
    </format>
    <format dxfId="17">
      <pivotArea outline="0" fieldPosition="0">
        <references count="1">
          <reference field="12" count="5" selected="0">
            <x v="6"/>
            <x v="7"/>
            <x v="8"/>
            <x v="9"/>
            <x v="10"/>
          </reference>
        </references>
      </pivotArea>
    </format>
    <format dxfId="18">
      <pivotArea field="12" type="button" dataOnly="0" labelOnly="1" outline="0" axis="axisCol" fieldPosition="0"/>
    </format>
    <format dxfId="19">
      <pivotArea type="topRight" dataOnly="0" labelOnly="1" outline="0" fieldPosition="0"/>
    </format>
    <format dxfId="20">
      <pivotArea dataOnly="0" labelOnly="1" outline="0" fieldPosition="0">
        <references count="1">
          <reference field="12" count="5">
            <x v="6"/>
            <x v="7"/>
            <x v="8"/>
            <x v="9"/>
            <x v="10"/>
          </reference>
        </references>
      </pivotArea>
    </format>
    <format dxfId="21">
      <pivotArea dataOnly="0" labelOnly="1" outline="0" fieldPosition="0">
        <references count="1">
          <reference field="0" count="1">
            <x v="0"/>
          </reference>
        </references>
      </pivotArea>
    </format>
    <format dxfId="22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24">
      <pivotArea dataOnly="0" labelOnly="1" outline="0" fieldPosition="0">
        <references count="1">
          <reference field="0" count="1">
            <x v="2"/>
          </reference>
        </references>
      </pivotArea>
    </format>
    <format dxfId="25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27">
      <pivotArea type="all" dataOnly="0" outline="0" fieldPosition="0"/>
    </format>
    <format dxfId="28">
      <pivotArea outline="0" fieldPosition="0">
        <references count="1">
          <reference field="0" count="1" selected="0" defaultSubtotal="1">
            <x v="0"/>
          </reference>
        </references>
      </pivotArea>
    </format>
    <format dxfId="29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30">
      <pivotArea outline="0" fieldPosition="0">
        <references count="1">
          <reference field="0" count="1" selected="0" defaultSubtotal="1">
            <x v="3"/>
          </reference>
        </references>
      </pivotArea>
    </format>
    <format dxfId="31">
      <pivotArea outline="0" fieldPosition="0">
        <references count="1">
          <reference field="0" count="1" selected="0">
            <x v="5"/>
          </reference>
        </references>
      </pivotArea>
    </format>
    <format dxfId="32">
      <pivotArea type="origin" dataOnly="0" labelOnly="1" outline="0" fieldPosition="0"/>
    </format>
    <format dxfId="33">
      <pivotArea field="0" type="button" dataOnly="0" labelOnly="1" outline="0" axis="axisRow" fieldPosition="0"/>
    </format>
    <format dxfId="34">
      <pivotArea field="2" type="button" dataOnly="0" labelOnly="1" outline="0" axis="axisRow" fieldPosition="1"/>
    </format>
    <format dxfId="35">
      <pivotArea field="12" type="button" dataOnly="0" labelOnly="1" outline="0" axis="axisCol" fieldPosition="0"/>
    </format>
    <format dxfId="36">
      <pivotArea type="topRight" dataOnly="0" labelOnly="1" outline="0" fieldPosition="0"/>
    </format>
    <format dxfId="37">
      <pivotArea dataOnly="0" labelOnly="1" outline="0" fieldPosition="0">
        <references count="1">
          <reference field="0" count="0"/>
        </references>
      </pivotArea>
    </format>
    <format dxfId="38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40">
      <pivotArea dataOnly="0" labelOnly="1" outline="0" fieldPosition="0">
        <references count="2">
          <reference field="0" count="1" selected="0">
            <x v="5"/>
          </reference>
          <reference field="2" count="2">
            <x v="4"/>
            <x v="6"/>
          </reference>
        </references>
      </pivotArea>
    </format>
    <format dxfId="41">
      <pivotArea dataOnly="0" labelOnly="1" grandCol="1" outline="0" fieldPosition="0"/>
    </format>
    <format dxfId="42">
      <pivotArea dataOnly="0" labelOnly="1" outline="0" fieldPosition="0">
        <references count="1">
          <reference field="12" count="0"/>
        </references>
      </pivotArea>
    </format>
    <format dxfId="43">
      <pivotArea dataOnly="0" labelOnly="1" outline="0" fieldPosition="0">
        <references count="1">
          <reference field="12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0"/>
  <sheetViews>
    <sheetView zoomScale="200" zoomScaleNormal="200" workbookViewId="0">
      <selection activeCell="B3" sqref="B3:E3"/>
    </sheetView>
  </sheetViews>
  <sheetFormatPr defaultColWidth="9.140625" defaultRowHeight="12"/>
  <cols>
    <col min="1" max="2" width="25.85546875" style="38" customWidth="1"/>
    <col min="3" max="3" width="25" style="38" customWidth="1"/>
    <col min="4" max="4" width="25.85546875" style="38" customWidth="1"/>
    <col min="5" max="5" width="34.85546875" style="38" customWidth="1"/>
    <col min="6" max="14" width="40.85546875" style="38" customWidth="1"/>
    <col min="15" max="16384" width="9.140625" style="38"/>
  </cols>
  <sheetData>
    <row r="1" spans="1:6" ht="14.1" customHeight="1" thickBot="1">
      <c r="A1" s="34" t="s">
        <v>0</v>
      </c>
      <c r="B1" s="35"/>
      <c r="C1" s="36"/>
      <c r="D1" s="36"/>
      <c r="E1" s="37"/>
    </row>
    <row r="2" spans="1:6" ht="14.1" customHeight="1" thickBot="1">
      <c r="A2" s="39" t="s">
        <v>1</v>
      </c>
      <c r="B2" s="91"/>
      <c r="C2" s="92"/>
      <c r="D2" s="40"/>
      <c r="E2" s="41"/>
    </row>
    <row r="3" spans="1:6" ht="12" customHeight="1">
      <c r="A3" s="39" t="s">
        <v>2</v>
      </c>
      <c r="B3" s="93"/>
      <c r="C3" s="94"/>
      <c r="D3" s="94"/>
      <c r="E3" s="95"/>
    </row>
    <row r="4" spans="1:6">
      <c r="A4" s="39" t="s">
        <v>3</v>
      </c>
      <c r="B4" s="93"/>
      <c r="C4" s="94"/>
      <c r="D4" s="94"/>
      <c r="E4" s="95"/>
    </row>
    <row r="5" spans="1:6" ht="12" customHeight="1">
      <c r="A5" s="96" t="s">
        <v>4</v>
      </c>
      <c r="B5" s="90"/>
      <c r="C5" s="90"/>
      <c r="D5" s="90"/>
      <c r="E5" s="98"/>
    </row>
    <row r="6" spans="1:6" ht="14.1" customHeight="1" thickBot="1">
      <c r="A6" s="97"/>
      <c r="B6" s="99"/>
      <c r="C6" s="99"/>
      <c r="D6" s="99"/>
      <c r="E6" s="100"/>
    </row>
    <row r="7" spans="1:6" ht="12.75" thickBot="1">
      <c r="A7" s="42"/>
      <c r="E7" s="43"/>
    </row>
    <row r="8" spans="1:6" ht="12.75" customHeight="1" thickBot="1">
      <c r="A8" s="101" t="s">
        <v>5</v>
      </c>
      <c r="B8" s="102"/>
      <c r="C8" s="102"/>
      <c r="D8" s="102"/>
      <c r="E8" s="103"/>
    </row>
    <row r="9" spans="1:6" ht="12.75" customHeight="1">
      <c r="A9" s="104"/>
      <c r="B9" s="105"/>
      <c r="C9" s="105"/>
      <c r="D9" s="105"/>
      <c r="E9" s="106"/>
    </row>
    <row r="10" spans="1:6" ht="12.75" customHeight="1">
      <c r="A10" s="107"/>
      <c r="B10" s="108"/>
      <c r="C10" s="108"/>
      <c r="D10" s="108"/>
      <c r="E10" s="109"/>
    </row>
    <row r="11" spans="1:6" ht="12.75" customHeight="1">
      <c r="A11" s="107"/>
      <c r="B11" s="108"/>
      <c r="C11" s="108"/>
      <c r="D11" s="108"/>
      <c r="E11" s="109"/>
    </row>
    <row r="12" spans="1:6" ht="12.75" customHeight="1">
      <c r="A12" s="107"/>
      <c r="B12" s="108"/>
      <c r="C12" s="108"/>
      <c r="D12" s="108"/>
      <c r="E12" s="109"/>
      <c r="F12" s="38" t="s">
        <v>6</v>
      </c>
    </row>
    <row r="13" spans="1:6" ht="12.75" customHeight="1">
      <c r="A13" s="107"/>
      <c r="B13" s="108"/>
      <c r="C13" s="108"/>
      <c r="D13" s="108"/>
      <c r="E13" s="109"/>
    </row>
    <row r="14" spans="1:6" ht="12.75" customHeight="1">
      <c r="A14" s="107"/>
      <c r="B14" s="108"/>
      <c r="C14" s="108"/>
      <c r="D14" s="108"/>
      <c r="E14" s="109"/>
    </row>
    <row r="15" spans="1:6" ht="12.75" customHeight="1" thickBot="1">
      <c r="A15" s="107"/>
      <c r="B15" s="108"/>
      <c r="C15" s="108"/>
      <c r="D15" s="108"/>
      <c r="E15" s="109"/>
    </row>
    <row r="16" spans="1:6" ht="12.75" thickBot="1">
      <c r="A16" s="44" t="s">
        <v>7</v>
      </c>
      <c r="B16" s="45" t="s">
        <v>8</v>
      </c>
      <c r="C16" s="45" t="s">
        <v>9</v>
      </c>
      <c r="D16" s="45" t="s">
        <v>10</v>
      </c>
      <c r="E16" s="46"/>
    </row>
    <row r="17" spans="1:5">
      <c r="A17" s="69"/>
      <c r="B17" s="48"/>
      <c r="C17" s="49"/>
      <c r="D17" s="110"/>
      <c r="E17" s="111"/>
    </row>
    <row r="18" spans="1:5">
      <c r="A18" s="67"/>
      <c r="B18" s="49"/>
      <c r="C18" s="49"/>
      <c r="D18" s="112"/>
      <c r="E18" s="113"/>
    </row>
    <row r="19" spans="1:5">
      <c r="A19" s="68"/>
      <c r="B19" s="49"/>
      <c r="C19" s="49"/>
      <c r="D19" s="112"/>
      <c r="E19" s="113"/>
    </row>
    <row r="20" spans="1:5">
      <c r="B20" s="49"/>
      <c r="C20" s="49"/>
      <c r="D20" s="112"/>
      <c r="E20" s="113"/>
    </row>
    <row r="21" spans="1:5">
      <c r="B21" s="50"/>
      <c r="C21" s="49"/>
      <c r="D21" s="112"/>
      <c r="E21" s="113"/>
    </row>
    <row r="22" spans="1:5">
      <c r="A22" s="47"/>
      <c r="B22" s="48"/>
      <c r="C22" s="49"/>
      <c r="D22" s="112"/>
      <c r="E22" s="113"/>
    </row>
    <row r="23" spans="1:5">
      <c r="A23" s="47"/>
      <c r="B23" s="48"/>
      <c r="C23" s="49"/>
      <c r="D23" s="112"/>
      <c r="E23" s="113"/>
    </row>
    <row r="24" spans="1:5" ht="12.75" thickBot="1">
      <c r="A24" s="51"/>
      <c r="D24" s="112"/>
      <c r="E24" s="113"/>
    </row>
    <row r="25" spans="1:5" ht="12.75" thickBot="1">
      <c r="A25" s="44" t="s">
        <v>11</v>
      </c>
      <c r="B25" s="45"/>
      <c r="C25" s="45"/>
      <c r="D25" s="45"/>
      <c r="E25" s="46"/>
    </row>
    <row r="26" spans="1:5" ht="12" customHeight="1">
      <c r="A26" s="89"/>
      <c r="B26" s="90"/>
      <c r="C26" s="90"/>
      <c r="D26" s="90"/>
      <c r="E26" s="43"/>
    </row>
    <row r="27" spans="1:5">
      <c r="A27" s="89"/>
      <c r="B27" s="90"/>
      <c r="C27" s="90"/>
      <c r="D27" s="90"/>
      <c r="E27" s="43"/>
    </row>
    <row r="28" spans="1:5">
      <c r="A28" s="89"/>
      <c r="B28" s="90"/>
      <c r="C28" s="90"/>
      <c r="D28" s="90"/>
      <c r="E28" s="43"/>
    </row>
    <row r="29" spans="1:5">
      <c r="A29" s="89"/>
      <c r="B29" s="90"/>
      <c r="C29" s="90"/>
      <c r="D29" s="90"/>
      <c r="E29" s="43"/>
    </row>
    <row r="30" spans="1:5" ht="12.75" thickBot="1">
      <c r="A30" s="51"/>
      <c r="E30" s="43"/>
    </row>
    <row r="31" spans="1:5" ht="12.75" thickBot="1">
      <c r="A31" s="44" t="s">
        <v>12</v>
      </c>
      <c r="B31" s="45"/>
      <c r="C31" s="45"/>
      <c r="D31" s="45"/>
      <c r="E31" s="46"/>
    </row>
    <row r="32" spans="1:5">
      <c r="A32" s="89" t="s">
        <v>13</v>
      </c>
      <c r="B32" s="90"/>
      <c r="C32" s="90"/>
      <c r="D32" s="90"/>
      <c r="E32" s="43"/>
    </row>
    <row r="33" spans="1:5">
      <c r="A33" s="89" t="s">
        <v>14</v>
      </c>
      <c r="B33" s="90"/>
      <c r="C33" s="90"/>
      <c r="D33" s="90"/>
      <c r="E33" s="43"/>
    </row>
    <row r="34" spans="1:5">
      <c r="A34" s="89" t="s">
        <v>15</v>
      </c>
      <c r="B34" s="90"/>
      <c r="C34" s="90"/>
      <c r="D34" s="90"/>
      <c r="E34" s="43"/>
    </row>
    <row r="35" spans="1:5" ht="12.75" customHeight="1">
      <c r="A35" s="89" t="s">
        <v>16</v>
      </c>
      <c r="B35" s="90"/>
      <c r="C35" s="90"/>
      <c r="D35" s="90"/>
      <c r="E35" s="52"/>
    </row>
    <row r="36" spans="1:5">
      <c r="A36" s="112"/>
      <c r="B36" s="114"/>
      <c r="C36" s="114"/>
      <c r="D36" s="114"/>
      <c r="E36" s="43"/>
    </row>
    <row r="37" spans="1:5">
      <c r="A37" s="112"/>
      <c r="B37" s="114"/>
      <c r="C37" s="114"/>
      <c r="D37" s="114"/>
      <c r="E37" s="43"/>
    </row>
    <row r="38" spans="1:5" ht="12.75" thickBot="1">
      <c r="A38" s="53" t="s">
        <v>17</v>
      </c>
      <c r="E38" s="43"/>
    </row>
    <row r="39" spans="1:5" ht="12.75" thickBot="1">
      <c r="A39" s="54" t="s">
        <v>18</v>
      </c>
      <c r="B39" s="55" t="s">
        <v>19</v>
      </c>
      <c r="C39" s="55" t="s">
        <v>20</v>
      </c>
      <c r="D39" s="55" t="s">
        <v>10</v>
      </c>
      <c r="E39" s="46"/>
    </row>
    <row r="40" spans="1:5">
      <c r="A40" s="56"/>
      <c r="B40" s="57"/>
      <c r="C40" s="57"/>
      <c r="D40" s="57"/>
      <c r="E40" s="58"/>
    </row>
    <row r="41" spans="1:5" ht="12.75" thickBot="1">
      <c r="A41" s="59"/>
      <c r="B41" s="60"/>
      <c r="C41" s="60"/>
      <c r="D41" s="60"/>
      <c r="E41" s="61"/>
    </row>
    <row r="43" spans="1:5" ht="12.75" customHeight="1"/>
    <row r="44" spans="1:5" ht="12.75" customHeight="1"/>
    <row r="45" spans="1:5" ht="12" customHeight="1"/>
    <row r="47" spans="1:5" ht="15">
      <c r="A47" s="62"/>
      <c r="B47" s="63"/>
      <c r="C47" s="63"/>
      <c r="D47" s="63"/>
    </row>
    <row r="48" spans="1:5" ht="12.75" customHeight="1">
      <c r="A48" s="62"/>
      <c r="B48" s="63"/>
      <c r="C48" s="63"/>
      <c r="D48" s="63"/>
    </row>
    <row r="49" spans="1:5" ht="12.75">
      <c r="A49" s="64"/>
      <c r="B49" s="65"/>
      <c r="C49" s="66"/>
      <c r="D49" s="65"/>
      <c r="E49" s="65"/>
    </row>
    <row r="50" spans="1:5" ht="12.75">
      <c r="A50" s="63"/>
      <c r="B50" s="63"/>
      <c r="C50" s="63"/>
      <c r="D50" s="63"/>
    </row>
    <row r="51" spans="1:5" ht="12.75">
      <c r="A51" s="63"/>
      <c r="B51" s="63"/>
      <c r="C51" s="63"/>
      <c r="D51" s="63"/>
    </row>
    <row r="52" spans="1:5" ht="12.75">
      <c r="A52" s="63"/>
      <c r="B52" s="63"/>
      <c r="C52" s="63"/>
      <c r="D52" s="63"/>
    </row>
    <row r="53" spans="1:5" ht="12.75">
      <c r="A53" s="63"/>
      <c r="B53" s="63"/>
      <c r="C53" s="63"/>
      <c r="D53" s="63"/>
    </row>
    <row r="54" spans="1:5" ht="12.75">
      <c r="A54" s="63"/>
      <c r="B54" s="63"/>
      <c r="C54" s="63"/>
      <c r="D54" s="63"/>
    </row>
    <row r="55" spans="1:5" ht="15">
      <c r="A55" s="62"/>
      <c r="B55" s="63"/>
      <c r="C55" s="63"/>
      <c r="D55" s="63"/>
    </row>
    <row r="56" spans="1:5" ht="15">
      <c r="A56" s="62"/>
      <c r="B56" s="63"/>
      <c r="C56" s="63"/>
      <c r="D56" s="63"/>
    </row>
    <row r="57" spans="1:5" ht="12.75">
      <c r="A57" s="63"/>
      <c r="B57" s="63"/>
      <c r="C57" s="63"/>
      <c r="D57" s="63"/>
      <c r="E57" s="63"/>
    </row>
    <row r="58" spans="1:5" ht="12.75">
      <c r="A58" s="63"/>
      <c r="B58" s="63"/>
      <c r="C58" s="63"/>
      <c r="D58" s="63"/>
      <c r="E58" s="63"/>
    </row>
    <row r="59" spans="1:5" ht="12.75">
      <c r="A59" s="63"/>
      <c r="B59" s="63"/>
      <c r="C59" s="63"/>
      <c r="D59" s="63"/>
      <c r="E59" s="63"/>
    </row>
    <row r="60" spans="1:5" ht="12.75">
      <c r="A60" s="63"/>
      <c r="B60" s="63"/>
      <c r="C60" s="63"/>
      <c r="D60" s="63"/>
      <c r="E60" s="63"/>
    </row>
    <row r="61" spans="1:5" ht="12.75">
      <c r="A61" s="63"/>
      <c r="B61" s="63"/>
      <c r="C61" s="63"/>
      <c r="D61" s="63"/>
      <c r="E61" s="63"/>
    </row>
    <row r="62" spans="1:5" ht="12.75">
      <c r="A62" s="63"/>
      <c r="B62" s="63"/>
      <c r="C62" s="63"/>
      <c r="D62" s="63"/>
      <c r="E62" s="63"/>
    </row>
    <row r="63" spans="1:5" ht="12.75">
      <c r="A63" s="63"/>
      <c r="B63" s="63"/>
      <c r="C63" s="63"/>
      <c r="D63" s="63"/>
      <c r="E63" s="63"/>
    </row>
    <row r="64" spans="1:5" ht="12.75">
      <c r="A64" s="63"/>
      <c r="B64" s="63"/>
      <c r="C64" s="63"/>
      <c r="D64" s="63"/>
      <c r="E64" s="63"/>
    </row>
    <row r="65" spans="1:5" ht="12.75">
      <c r="A65" s="63"/>
      <c r="B65" s="63"/>
      <c r="C65" s="63"/>
      <c r="D65" s="63"/>
      <c r="E65" s="63"/>
    </row>
    <row r="66" spans="1:5" ht="12.75">
      <c r="A66" s="63"/>
      <c r="B66" s="63"/>
      <c r="C66" s="63"/>
      <c r="D66" s="63"/>
      <c r="E66" s="63"/>
    </row>
    <row r="67" spans="1:5" ht="12.75">
      <c r="A67" s="63"/>
      <c r="B67" s="63"/>
      <c r="C67" s="63"/>
      <c r="D67" s="63"/>
      <c r="E67" s="63"/>
    </row>
    <row r="68" spans="1:5" ht="12.75">
      <c r="A68" s="63"/>
      <c r="B68" s="63"/>
      <c r="C68" s="63"/>
      <c r="D68" s="63"/>
      <c r="E68" s="63"/>
    </row>
    <row r="69" spans="1:5" ht="12.75">
      <c r="A69" s="63"/>
      <c r="B69" s="63"/>
      <c r="C69" s="63"/>
      <c r="D69" s="63"/>
      <c r="E69" s="63"/>
    </row>
    <row r="70" spans="1:5" ht="12.75">
      <c r="A70" s="63"/>
      <c r="B70" s="63"/>
      <c r="C70" s="63"/>
      <c r="D70" s="63"/>
      <c r="E70" s="63"/>
    </row>
  </sheetData>
  <mergeCells count="20">
    <mergeCell ref="A37:B37"/>
    <mergeCell ref="C37:D37"/>
    <mergeCell ref="A32:D32"/>
    <mergeCell ref="A33:D33"/>
    <mergeCell ref="A34:D34"/>
    <mergeCell ref="A35:D35"/>
    <mergeCell ref="A36:B36"/>
    <mergeCell ref="C36:D36"/>
    <mergeCell ref="A29:D29"/>
    <mergeCell ref="B2:C2"/>
    <mergeCell ref="B3:E3"/>
    <mergeCell ref="B4:E4"/>
    <mergeCell ref="A5:A6"/>
    <mergeCell ref="B5:E6"/>
    <mergeCell ref="A8:E8"/>
    <mergeCell ref="A9:E15"/>
    <mergeCell ref="D17:E24"/>
    <mergeCell ref="A26:D26"/>
    <mergeCell ref="A27:D27"/>
    <mergeCell ref="A28:D28"/>
  </mergeCells>
  <dataValidations count="1">
    <dataValidation type="list" allowBlank="1" showInputMessage="1" showErrorMessage="1" sqref="D2:E2" xr:uid="{00000000-0002-0000-0000-000000000000}">
      <formula1>"R4-Cycle 1,R4-Cycle 2,R4-Cycle 3,R4-Cycle 4,R4-Regression Test,R4-Business Simulation"</formula1>
    </dataValidation>
  </dataValidations>
  <pageMargins left="0.75" right="0.75" top="1" bottom="1" header="0.5" footer="0.5"/>
  <pageSetup scale="6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7B0C-6E25-4F3F-80BA-0C5CD1E216E2}">
  <sheetPr>
    <outlinePr summaryBelow="0" summaryRight="0"/>
    <pageSetUpPr fitToPage="1"/>
  </sheetPr>
  <dimension ref="A1:P13"/>
  <sheetViews>
    <sheetView tabSelected="1" topLeftCell="B1" zoomScale="70" zoomScaleNormal="70" workbookViewId="0">
      <pane xSplit="5" ySplit="2" topLeftCell="G3" activePane="bottomRight" state="frozen"/>
      <selection pane="bottomRight" activeCell="F9" sqref="F9"/>
      <selection pane="bottomLeft"/>
      <selection pane="topRight"/>
    </sheetView>
  </sheetViews>
  <sheetFormatPr defaultColWidth="35.7109375" defaultRowHeight="18.75"/>
  <cols>
    <col min="1" max="1" width="10.28515625" style="83" customWidth="1"/>
    <col min="2" max="2" width="15.7109375" style="83" bestFit="1" customWidth="1"/>
    <col min="3" max="3" width="10.28515625" style="71" customWidth="1"/>
    <col min="4" max="4" width="15.7109375" style="71" bestFit="1" customWidth="1"/>
    <col min="5" max="5" width="14" style="83" customWidth="1"/>
    <col min="6" max="6" width="73.85546875" style="84" customWidth="1"/>
    <col min="7" max="7" width="56.5703125" style="71" customWidth="1"/>
    <col min="8" max="8" width="46.42578125" style="71" customWidth="1"/>
    <col min="9" max="9" width="19.5703125" style="71" customWidth="1"/>
    <col min="10" max="10" width="38.140625" style="71" customWidth="1"/>
    <col min="11" max="11" width="18.85546875" style="83" customWidth="1"/>
    <col min="12" max="12" width="18.7109375" style="71" customWidth="1"/>
    <col min="13" max="13" width="17.42578125" style="71" customWidth="1"/>
    <col min="14" max="14" width="16.42578125" style="84" customWidth="1"/>
    <col min="15" max="15" width="13.28515625" style="84" customWidth="1"/>
    <col min="16" max="16" width="37.140625" style="71" bestFit="1" customWidth="1"/>
    <col min="17" max="16384" width="35.7109375" style="71"/>
  </cols>
  <sheetData>
    <row r="1" spans="1:16">
      <c r="A1" s="115" t="s">
        <v>21</v>
      </c>
      <c r="B1" s="70"/>
      <c r="C1" s="115" t="s">
        <v>22</v>
      </c>
      <c r="D1" s="70"/>
      <c r="E1" s="115" t="s">
        <v>23</v>
      </c>
      <c r="F1" s="115" t="s">
        <v>24</v>
      </c>
      <c r="G1" s="115" t="s">
        <v>25</v>
      </c>
      <c r="H1" s="115" t="s">
        <v>26</v>
      </c>
      <c r="I1" s="117" t="s">
        <v>27</v>
      </c>
      <c r="J1" s="115" t="s">
        <v>28</v>
      </c>
      <c r="K1" s="70" t="s">
        <v>29</v>
      </c>
      <c r="L1" s="115" t="s">
        <v>30</v>
      </c>
      <c r="M1" s="115" t="s">
        <v>31</v>
      </c>
      <c r="N1" s="115" t="s">
        <v>32</v>
      </c>
      <c r="O1" s="116" t="s">
        <v>33</v>
      </c>
      <c r="P1" s="115" t="s">
        <v>10</v>
      </c>
    </row>
    <row r="2" spans="1:16" ht="51" customHeight="1">
      <c r="A2" s="115"/>
      <c r="B2" s="70"/>
      <c r="C2" s="115"/>
      <c r="D2" s="72"/>
      <c r="E2" s="115"/>
      <c r="F2" s="115"/>
      <c r="G2" s="115"/>
      <c r="H2" s="115"/>
      <c r="I2" s="117"/>
      <c r="J2" s="115"/>
      <c r="K2" s="72" t="s">
        <v>34</v>
      </c>
      <c r="L2" s="115"/>
      <c r="M2" s="115"/>
      <c r="N2" s="115"/>
      <c r="O2" s="116"/>
      <c r="P2" s="115"/>
    </row>
    <row r="3" spans="1:16">
      <c r="A3" s="73"/>
      <c r="B3" s="73" t="s">
        <v>35</v>
      </c>
      <c r="C3" s="73"/>
      <c r="D3" s="73" t="s">
        <v>36</v>
      </c>
      <c r="E3" s="73"/>
      <c r="F3" s="74"/>
      <c r="G3" s="75"/>
      <c r="H3" s="75"/>
      <c r="I3" s="75"/>
      <c r="J3" s="73"/>
      <c r="K3" s="73"/>
      <c r="L3" s="73"/>
      <c r="M3" s="73"/>
      <c r="N3" s="76"/>
      <c r="O3" s="76"/>
      <c r="P3" s="73"/>
    </row>
    <row r="4" spans="1:16" s="81" customFormat="1" ht="37.5">
      <c r="A4" s="77" t="s">
        <v>37</v>
      </c>
      <c r="B4" s="78" t="s">
        <v>38</v>
      </c>
      <c r="C4" s="77">
        <f t="shared" ref="C4:C13" si="0">ROW(A4)-3</f>
        <v>1</v>
      </c>
      <c r="D4" s="77" t="s">
        <v>39</v>
      </c>
      <c r="E4" s="79" t="s">
        <v>40</v>
      </c>
      <c r="F4" s="77" t="s">
        <v>41</v>
      </c>
      <c r="G4" s="86" t="s">
        <v>42</v>
      </c>
      <c r="H4" s="77" t="s">
        <v>43</v>
      </c>
      <c r="I4" s="80" t="b">
        <v>0</v>
      </c>
      <c r="J4" s="77"/>
      <c r="K4" s="77"/>
      <c r="L4" s="77"/>
      <c r="M4" s="77"/>
      <c r="N4" s="77"/>
      <c r="O4" s="77"/>
      <c r="P4" s="77"/>
    </row>
    <row r="5" spans="1:16" s="81" customFormat="1" ht="37.5">
      <c r="A5" s="77"/>
      <c r="B5" s="77"/>
      <c r="C5" s="77">
        <f t="shared" si="0"/>
        <v>2</v>
      </c>
      <c r="D5" s="77" t="s">
        <v>39</v>
      </c>
      <c r="E5" s="79" t="s">
        <v>40</v>
      </c>
      <c r="F5" s="85" t="s">
        <v>44</v>
      </c>
      <c r="G5" s="77"/>
      <c r="H5" s="77" t="s">
        <v>45</v>
      </c>
      <c r="I5" s="80" t="b">
        <v>0</v>
      </c>
      <c r="J5" s="77"/>
      <c r="K5" s="77"/>
      <c r="L5" s="77"/>
      <c r="M5" s="77"/>
      <c r="N5" s="77"/>
      <c r="O5" s="77"/>
      <c r="P5" s="77"/>
    </row>
    <row r="6" spans="1:16" s="81" customFormat="1" ht="42.75" customHeight="1">
      <c r="A6" s="77"/>
      <c r="B6" s="77"/>
      <c r="C6" s="77">
        <f t="shared" si="0"/>
        <v>3</v>
      </c>
      <c r="D6" s="77" t="s">
        <v>39</v>
      </c>
      <c r="E6" s="79" t="s">
        <v>40</v>
      </c>
      <c r="F6" s="85" t="s">
        <v>46</v>
      </c>
      <c r="G6" s="77"/>
      <c r="H6" s="77" t="s">
        <v>47</v>
      </c>
      <c r="I6" s="80" t="b">
        <v>0</v>
      </c>
      <c r="J6" s="77"/>
      <c r="K6" s="77"/>
      <c r="L6" s="77"/>
      <c r="M6" s="77"/>
      <c r="N6" s="77"/>
      <c r="O6" s="77"/>
      <c r="P6" s="77"/>
    </row>
    <row r="7" spans="1:16" s="81" customFormat="1" ht="57">
      <c r="A7" s="77"/>
      <c r="B7" s="77"/>
      <c r="C7" s="77">
        <f t="shared" si="0"/>
        <v>4</v>
      </c>
      <c r="D7" s="77" t="s">
        <v>48</v>
      </c>
      <c r="E7" s="79" t="s">
        <v>40</v>
      </c>
      <c r="F7" s="85" t="s">
        <v>49</v>
      </c>
      <c r="G7" s="77" t="s">
        <v>50</v>
      </c>
      <c r="H7" s="77" t="s">
        <v>51</v>
      </c>
      <c r="I7" s="80" t="b">
        <v>0</v>
      </c>
      <c r="J7" s="77"/>
      <c r="K7" s="77"/>
      <c r="L7" s="77"/>
      <c r="M7" s="77"/>
      <c r="N7" s="77"/>
      <c r="O7" s="77"/>
      <c r="P7" s="77"/>
    </row>
    <row r="8" spans="1:16" s="81" customFormat="1" ht="42.75" customHeight="1">
      <c r="A8" s="77"/>
      <c r="B8" s="77"/>
      <c r="C8" s="77">
        <f t="shared" si="0"/>
        <v>5</v>
      </c>
      <c r="D8" s="77" t="s">
        <v>48</v>
      </c>
      <c r="E8" s="79" t="s">
        <v>40</v>
      </c>
      <c r="F8" s="85" t="s">
        <v>52</v>
      </c>
      <c r="G8" s="86" t="s">
        <v>53</v>
      </c>
      <c r="H8" s="77"/>
      <c r="I8" s="80" t="b">
        <v>0</v>
      </c>
      <c r="J8" s="77"/>
      <c r="K8" s="77"/>
      <c r="L8" s="77"/>
      <c r="M8" s="77"/>
      <c r="N8" s="77"/>
      <c r="O8" s="77"/>
      <c r="P8" s="77"/>
    </row>
    <row r="9" spans="1:16" s="81" customFormat="1" ht="42.75" customHeight="1">
      <c r="A9" s="77"/>
      <c r="B9" s="77"/>
      <c r="C9" s="77">
        <f t="shared" si="0"/>
        <v>6</v>
      </c>
      <c r="D9" s="77" t="s">
        <v>48</v>
      </c>
      <c r="E9" s="79" t="s">
        <v>40</v>
      </c>
      <c r="F9" s="87" t="s">
        <v>54</v>
      </c>
      <c r="G9" s="77"/>
      <c r="H9" s="77"/>
      <c r="I9" s="80" t="b">
        <v>0</v>
      </c>
      <c r="J9" s="77"/>
      <c r="K9" s="77"/>
      <c r="L9" s="77"/>
      <c r="M9" s="77"/>
      <c r="N9" s="77"/>
      <c r="O9" s="77"/>
      <c r="P9" s="77"/>
    </row>
    <row r="10" spans="1:16" s="81" customFormat="1" ht="57">
      <c r="A10" s="77"/>
      <c r="B10" s="77"/>
      <c r="C10" s="77">
        <f t="shared" si="0"/>
        <v>7</v>
      </c>
      <c r="D10" s="77" t="s">
        <v>55</v>
      </c>
      <c r="E10" s="79" t="s">
        <v>40</v>
      </c>
      <c r="F10" s="87" t="s">
        <v>56</v>
      </c>
      <c r="G10" s="82" t="s">
        <v>57</v>
      </c>
      <c r="H10" s="82" t="s">
        <v>58</v>
      </c>
      <c r="I10" s="80" t="b">
        <v>0</v>
      </c>
      <c r="J10" s="77"/>
      <c r="K10" s="77"/>
      <c r="L10" s="77"/>
      <c r="M10" s="77"/>
      <c r="N10" s="77"/>
      <c r="O10" s="77"/>
      <c r="P10" s="77"/>
    </row>
    <row r="11" spans="1:16" s="81" customFormat="1" ht="75.75">
      <c r="A11" s="77"/>
      <c r="B11" s="77"/>
      <c r="C11" s="77">
        <f t="shared" si="0"/>
        <v>8</v>
      </c>
      <c r="D11" s="77" t="s">
        <v>55</v>
      </c>
      <c r="E11" s="79" t="s">
        <v>40</v>
      </c>
      <c r="F11" s="87" t="s">
        <v>59</v>
      </c>
      <c r="G11" s="82" t="s">
        <v>60</v>
      </c>
      <c r="H11" s="82" t="s">
        <v>61</v>
      </c>
      <c r="I11" s="80" t="b">
        <v>0</v>
      </c>
      <c r="J11" s="77"/>
      <c r="K11" s="77"/>
      <c r="L11" s="77"/>
      <c r="M11" s="77"/>
      <c r="N11" s="77"/>
      <c r="O11" s="77"/>
      <c r="P11" s="77"/>
    </row>
    <row r="12" spans="1:16" s="81" customFormat="1" ht="42.75" customHeight="1">
      <c r="A12" s="77"/>
      <c r="B12" s="77"/>
      <c r="C12" s="77">
        <f t="shared" si="0"/>
        <v>9</v>
      </c>
      <c r="D12" s="77" t="s">
        <v>55</v>
      </c>
      <c r="E12" s="79" t="s">
        <v>40</v>
      </c>
      <c r="F12" s="88" t="s">
        <v>62</v>
      </c>
      <c r="G12" s="82"/>
      <c r="H12" s="82" t="s">
        <v>63</v>
      </c>
      <c r="I12" s="80" t="b">
        <v>0</v>
      </c>
      <c r="J12" s="77"/>
      <c r="K12" s="77"/>
      <c r="L12" s="77"/>
      <c r="M12" s="77"/>
      <c r="N12" s="77"/>
      <c r="O12" s="77"/>
      <c r="P12" s="77"/>
    </row>
    <row r="13" spans="1:16" s="81" customFormat="1" ht="75.75">
      <c r="A13" s="77"/>
      <c r="B13" s="77"/>
      <c r="C13" s="77">
        <f t="shared" si="0"/>
        <v>10</v>
      </c>
      <c r="D13" s="77" t="s">
        <v>39</v>
      </c>
      <c r="E13" s="79" t="s">
        <v>40</v>
      </c>
      <c r="F13" s="88" t="s">
        <v>64</v>
      </c>
      <c r="G13" s="82"/>
      <c r="H13" s="82" t="s">
        <v>65</v>
      </c>
      <c r="I13" s="80" t="b">
        <v>0</v>
      </c>
      <c r="J13" s="77"/>
      <c r="K13" s="77"/>
      <c r="L13" s="77"/>
      <c r="M13" s="77"/>
      <c r="N13" s="77"/>
      <c r="O13" s="77"/>
      <c r="P13" s="77"/>
    </row>
  </sheetData>
  <autoFilter ref="A1:P13" xr:uid="{00000000-0009-0000-0000-000001000000}"/>
  <mergeCells count="13">
    <mergeCell ref="A1:A2"/>
    <mergeCell ref="C1:C2"/>
    <mergeCell ref="E1:E2"/>
    <mergeCell ref="F1:F2"/>
    <mergeCell ref="G1:G2"/>
    <mergeCell ref="P1:P2"/>
    <mergeCell ref="H1:H2"/>
    <mergeCell ref="J1:J2"/>
    <mergeCell ref="L1:L2"/>
    <mergeCell ref="M1:M2"/>
    <mergeCell ref="N1:N2"/>
    <mergeCell ref="O1:O2"/>
    <mergeCell ref="I1:I2"/>
  </mergeCells>
  <dataValidations count="3">
    <dataValidation type="list" allowBlank="1" showInputMessage="1" showErrorMessage="1" sqref="N4:N13" xr:uid="{4B345D01-791D-4FA3-96D8-8666165294C3}">
      <formula1>"10 - Not Started,20 - In-Process,30 - TPR Hold,40 - DEV Hold,50 - Pass,60 - N/A"</formula1>
    </dataValidation>
    <dataValidation type="list" allowBlank="1" showInputMessage="1" showErrorMessage="1" sqref="K4:K13" xr:uid="{8788322B-976A-4F49-A269-E57361549BCA}">
      <formula1>"Y,N"</formula1>
    </dataValidation>
    <dataValidation type="list" allowBlank="1" showInputMessage="1" showErrorMessage="1" sqref="E4:E13" xr:uid="{3C188CED-2734-4659-8FAB-AEFDC215CA06}">
      <formula1>"AP,Buyer,PO Approv,Inv Approv,Watcher,SAP Tech Team,Prem Tech,Prem Funct"</formula1>
    </dataValidation>
  </dataValidations>
  <pageMargins left="0.45" right="0.45" top="0.75" bottom="0.75" header="0.3" footer="0.3"/>
  <pageSetup scale="61" fitToHeight="1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489C-DD30-C84C-B699-3B7B81E93EAE}">
  <dimension ref="A1"/>
  <sheetViews>
    <sheetView workbookViewId="0"/>
  </sheetViews>
  <sheetFormatPr defaultColWidth="11.42578125"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46"/>
  <sheetViews>
    <sheetView showGridLines="0" workbookViewId="0">
      <selection activeCell="A10" sqref="A10"/>
    </sheetView>
  </sheetViews>
  <sheetFormatPr defaultColWidth="9.140625" defaultRowHeight="17.25" customHeight="1"/>
  <cols>
    <col min="1" max="1" width="14.85546875" style="2" customWidth="1"/>
    <col min="2" max="2" width="8.42578125" style="2" customWidth="1"/>
    <col min="3" max="7" width="14.28515625" style="2" customWidth="1"/>
    <col min="8" max="9" width="14.28515625" style="1" customWidth="1"/>
    <col min="10" max="11" width="11.7109375" style="1" customWidth="1"/>
    <col min="12" max="17" width="14.28515625" style="1" bestFit="1" customWidth="1"/>
    <col min="18" max="18" width="11.7109375" style="1" bestFit="1" customWidth="1"/>
    <col min="19" max="16384" width="9.140625" style="1"/>
  </cols>
  <sheetData>
    <row r="2" spans="1:18" ht="17.25" customHeight="1" thickBot="1"/>
    <row r="3" spans="1:18" ht="13.5" thickBot="1">
      <c r="A3" s="15" t="s">
        <v>66</v>
      </c>
      <c r="B3" s="16"/>
      <c r="C3" s="19" t="s">
        <v>32</v>
      </c>
      <c r="D3" s="20"/>
      <c r="E3" s="20"/>
      <c r="F3" s="20"/>
      <c r="G3" s="20"/>
      <c r="H3" s="20"/>
      <c r="I3" s="20"/>
      <c r="J3" s="21"/>
      <c r="K3"/>
      <c r="L3"/>
      <c r="M3"/>
      <c r="N3"/>
      <c r="O3"/>
      <c r="P3"/>
      <c r="Q3"/>
      <c r="R3"/>
    </row>
    <row r="4" spans="1:18" ht="13.5" thickBot="1">
      <c r="A4" s="17" t="s">
        <v>21</v>
      </c>
      <c r="B4" s="18" t="s">
        <v>23</v>
      </c>
      <c r="C4" s="32" t="s">
        <v>67</v>
      </c>
      <c r="D4" s="22" t="s">
        <v>68</v>
      </c>
      <c r="E4" s="22" t="s">
        <v>69</v>
      </c>
      <c r="F4" s="22" t="s">
        <v>70</v>
      </c>
      <c r="G4" s="22" t="s">
        <v>71</v>
      </c>
      <c r="H4" s="22" t="s">
        <v>72</v>
      </c>
      <c r="I4" s="33" t="s">
        <v>73</v>
      </c>
      <c r="J4" s="23" t="s">
        <v>74</v>
      </c>
      <c r="K4"/>
      <c r="L4"/>
      <c r="M4"/>
      <c r="N4"/>
      <c r="O4"/>
      <c r="P4"/>
      <c r="Q4"/>
      <c r="R4"/>
    </row>
    <row r="5" spans="1:18" ht="12.75">
      <c r="A5" s="12" t="s">
        <v>75</v>
      </c>
      <c r="B5" s="5" t="s">
        <v>76</v>
      </c>
      <c r="C5" s="3"/>
      <c r="D5" s="4">
        <v>1</v>
      </c>
      <c r="E5" s="4"/>
      <c r="F5" s="4"/>
      <c r="G5" s="4"/>
      <c r="H5" s="4"/>
      <c r="I5" s="4"/>
      <c r="J5" s="6">
        <v>1</v>
      </c>
      <c r="K5"/>
      <c r="L5"/>
      <c r="M5"/>
      <c r="N5"/>
      <c r="O5"/>
      <c r="P5"/>
      <c r="Q5"/>
      <c r="R5"/>
    </row>
    <row r="6" spans="1:18" ht="12.75">
      <c r="A6" s="26"/>
      <c r="B6" s="25" t="s">
        <v>77</v>
      </c>
      <c r="C6" s="24"/>
      <c r="D6" s="27">
        <v>1</v>
      </c>
      <c r="E6" s="27"/>
      <c r="F6" s="27"/>
      <c r="G6" s="27"/>
      <c r="H6" s="27">
        <v>8</v>
      </c>
      <c r="I6" s="27">
        <v>2</v>
      </c>
      <c r="J6" s="28">
        <v>11</v>
      </c>
      <c r="K6"/>
      <c r="L6"/>
      <c r="M6"/>
      <c r="N6"/>
      <c r="O6"/>
      <c r="P6"/>
      <c r="Q6"/>
      <c r="R6"/>
    </row>
    <row r="7" spans="1:18" ht="12.75">
      <c r="A7" s="26"/>
      <c r="B7" s="25" t="s">
        <v>78</v>
      </c>
      <c r="C7" s="24"/>
      <c r="D7" s="27"/>
      <c r="E7" s="27"/>
      <c r="F7" s="27"/>
      <c r="G7" s="27"/>
      <c r="H7" s="27">
        <v>25</v>
      </c>
      <c r="I7" s="27"/>
      <c r="J7" s="28">
        <v>25</v>
      </c>
      <c r="K7"/>
      <c r="L7"/>
      <c r="M7"/>
      <c r="N7"/>
      <c r="O7"/>
      <c r="P7"/>
      <c r="Q7"/>
      <c r="R7"/>
    </row>
    <row r="8" spans="1:18" ht="13.5" thickBot="1">
      <c r="A8" s="29"/>
      <c r="B8" s="30" t="s">
        <v>79</v>
      </c>
      <c r="C8" s="24"/>
      <c r="D8" s="27"/>
      <c r="E8" s="27"/>
      <c r="F8" s="27"/>
      <c r="G8" s="27"/>
      <c r="H8" s="27">
        <v>5</v>
      </c>
      <c r="I8" s="27">
        <v>4</v>
      </c>
      <c r="J8" s="28">
        <v>9</v>
      </c>
      <c r="K8"/>
      <c r="L8"/>
      <c r="M8"/>
      <c r="N8"/>
      <c r="O8"/>
      <c r="P8"/>
      <c r="Q8"/>
      <c r="R8"/>
    </row>
    <row r="9" spans="1:18" ht="17.25" customHeight="1" thickBot="1">
      <c r="A9" s="13" t="s">
        <v>80</v>
      </c>
      <c r="B9" s="14"/>
      <c r="C9" s="9"/>
      <c r="D9" s="10">
        <v>2</v>
      </c>
      <c r="E9" s="10"/>
      <c r="F9" s="10"/>
      <c r="G9" s="10"/>
      <c r="H9" s="10">
        <v>38</v>
      </c>
      <c r="I9" s="10">
        <v>6</v>
      </c>
      <c r="J9" s="11">
        <v>46</v>
      </c>
      <c r="K9"/>
      <c r="L9"/>
      <c r="M9"/>
      <c r="N9"/>
      <c r="O9"/>
      <c r="P9"/>
      <c r="Q9"/>
      <c r="R9"/>
    </row>
    <row r="10" spans="1:18" ht="13.5" thickBot="1">
      <c r="A10" s="13" t="s">
        <v>81</v>
      </c>
      <c r="B10" s="18" t="s">
        <v>78</v>
      </c>
      <c r="C10" s="9"/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1">
        <v>6</v>
      </c>
      <c r="K10"/>
      <c r="L10"/>
      <c r="M10"/>
      <c r="N10"/>
      <c r="O10"/>
      <c r="P10"/>
      <c r="Q10"/>
      <c r="R10"/>
    </row>
    <row r="11" spans="1:18" ht="17.25" customHeight="1">
      <c r="A11" s="12" t="s">
        <v>82</v>
      </c>
      <c r="B11" s="31"/>
      <c r="C11" s="3"/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6">
        <v>6</v>
      </c>
      <c r="K11"/>
      <c r="L11"/>
      <c r="M11"/>
      <c r="N11"/>
      <c r="O11"/>
      <c r="P11"/>
      <c r="Q11"/>
      <c r="R11"/>
    </row>
    <row r="12" spans="1:18" ht="13.5" thickBot="1">
      <c r="A12" s="7" t="s">
        <v>74</v>
      </c>
      <c r="B12" s="8"/>
      <c r="C12" s="9"/>
      <c r="D12" s="10">
        <v>3</v>
      </c>
      <c r="E12" s="10">
        <v>1</v>
      </c>
      <c r="F12" s="10">
        <v>1</v>
      </c>
      <c r="G12" s="10">
        <v>1</v>
      </c>
      <c r="H12" s="10">
        <v>39</v>
      </c>
      <c r="I12" s="10">
        <v>7</v>
      </c>
      <c r="J12" s="11">
        <v>52</v>
      </c>
      <c r="K12"/>
      <c r="L12"/>
      <c r="M12"/>
      <c r="N12"/>
      <c r="O12"/>
      <c r="P12"/>
      <c r="Q12"/>
      <c r="R12"/>
    </row>
    <row r="13" spans="1:18" ht="17.25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ht="17.25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ht="17.25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ht="17.25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ht="17.25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ht="17.25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ht="17.25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ht="17.25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ht="17.25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ht="17.25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ht="17.25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ht="17.2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7.2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7.25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17.2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17.25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7.2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7.25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17.25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17.25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17.25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17.25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ht="17.2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ht="17.25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ht="17.2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ht="17.25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ht="17.2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ht="17.25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ht="17.25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ht="17.25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ht="17.25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ht="17.25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</sheetData>
  <phoneticPr fontId="5" type="noConversion"/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714232D8671D41B688C3A48C5AE621" ma:contentTypeVersion="17" ma:contentTypeDescription="Create a new document." ma:contentTypeScope="" ma:versionID="d53d216ca0852b3df112c80684e44a04">
  <xsd:schema xmlns:xsd="http://www.w3.org/2001/XMLSchema" xmlns:xs="http://www.w3.org/2001/XMLSchema" xmlns:p="http://schemas.microsoft.com/office/2006/metadata/properties" xmlns:ns2="c0590885-0391-4acc-a1a2-62bdd649afdc" xmlns:ns3="f203ef26-be28-437c-ae01-5f41441de6d3" targetNamespace="http://schemas.microsoft.com/office/2006/metadata/properties" ma:root="true" ma:fieldsID="a994f462a7971573747b1ee30b6f4c90" ns2:_="" ns3:_="">
    <xsd:import namespace="c0590885-0391-4acc-a1a2-62bdd649afdc"/>
    <xsd:import namespace="f203ef26-be28-437c-ae01-5f41441de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90885-0391-4acc-a1a2-62bdd649af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cfdae59-7532-4cc8-8ce8-63e07576e7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3ef26-be28-437c-ae01-5f41441de6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f0a4373-ad75-4169-a61b-b6de68ac2aea}" ma:internalName="TaxCatchAll" ma:showField="CatchAllData" ma:web="f203ef26-be28-437c-ae01-5f41441de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203ef26-be28-437c-ae01-5f41441de6d3">
      <UserInfo>
        <DisplayName>Enterprise Services Members</DisplayName>
        <AccountId>470</AccountId>
        <AccountType/>
      </UserInfo>
      <UserInfo>
        <DisplayName>C&amp;S SAP Implementation Members</DisplayName>
        <AccountId>106</AccountId>
        <AccountType/>
      </UserInfo>
      <UserInfo>
        <DisplayName>C&amp;S SAP Implementation Visitors</DisplayName>
        <AccountId>227</AccountId>
        <AccountType/>
      </UserInfo>
    </SharedWithUsers>
    <TaxCatchAll xmlns="f203ef26-be28-437c-ae01-5f41441de6d3" xsi:nil="true"/>
    <lcf76f155ced4ddcb4097134ff3c332f xmlns="c0590885-0391-4acc-a1a2-62bdd649afdc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3D2ABA-2A5E-48CE-ACBC-2519633DDB43}"/>
</file>

<file path=customXml/itemProps2.xml><?xml version="1.0" encoding="utf-8"?>
<ds:datastoreItem xmlns:ds="http://schemas.openxmlformats.org/officeDocument/2006/customXml" ds:itemID="{56BCB5A8-855F-4A49-B3E4-B6B1DAD57931}"/>
</file>

<file path=customXml/itemProps3.xml><?xml version="1.0" encoding="utf-8"?>
<ds:datastoreItem xmlns:ds="http://schemas.openxmlformats.org/officeDocument/2006/customXml" ds:itemID="{8E58E092-0497-4CF3-8876-CC340FCDDFD6}"/>
</file>

<file path=customXml/itemProps4.xml><?xml version="1.0" encoding="utf-8"?>
<ds:datastoreItem xmlns:ds="http://schemas.openxmlformats.org/officeDocument/2006/customXml" ds:itemID="{E8C2D16A-6A14-4FCF-9B7F-81D5BCF9F5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IBM_USER</dc:creator>
  <cp:keywords/>
  <dc:description/>
  <cp:lastModifiedBy>Supriya Supriya</cp:lastModifiedBy>
  <cp:revision/>
  <dcterms:created xsi:type="dcterms:W3CDTF">2007-03-01T15:17:38Z</dcterms:created>
  <dcterms:modified xsi:type="dcterms:W3CDTF">2025-01-31T12:02:02Z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IT Owner">
    <vt:lpwstr>Mark Sivilich</vt:lpwstr>
  </property>
  <property fmtid="{D5CDD505-2E9C-101B-9397-08002B2CF9AE}" pid="4" name="GKI Owner">
    <vt:lpwstr/>
  </property>
  <property fmtid="{D5CDD505-2E9C-101B-9397-08002B2CF9AE}" pid="5" name="NEP Owner">
    <vt:lpwstr/>
  </property>
  <property fmtid="{D5CDD505-2E9C-101B-9397-08002B2CF9AE}" pid="6" name="Seed Owner">
    <vt:lpwstr>Usher Thomason</vt:lpwstr>
  </property>
  <property fmtid="{D5CDD505-2E9C-101B-9397-08002B2CF9AE}" pid="7" name="ContentTypeId">
    <vt:lpwstr>0x01010019714232D8671D41B688C3A48C5AE621</vt:lpwstr>
  </property>
  <property fmtid="{D5CDD505-2E9C-101B-9397-08002B2CF9AE}" pid="8" name="SV_QUERY_LIST_4F35BF76-6C0D-4D9B-82B2-816C12CF3733">
    <vt:lpwstr>empty_477D106A-C0D6-4607-AEBD-E2C9D60EA279</vt:lpwstr>
  </property>
  <property fmtid="{D5CDD505-2E9C-101B-9397-08002B2CF9AE}" pid="9" name="MediaServiceImageTags">
    <vt:lpwstr/>
  </property>
</Properties>
</file>